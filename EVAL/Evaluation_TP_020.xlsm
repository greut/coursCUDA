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CBI\Cours\CoursCBI\Informatique\006_Cuda\TP\Evaluation\common\"/>
    </mc:Choice>
  </mc:AlternateContent>
  <bookViews>
    <workbookView xWindow="0" yWindow="0" windowWidth="38400" windowHeight="20235" tabRatio="278"/>
  </bookViews>
  <sheets>
    <sheet name="Identification" sheetId="72" r:id="rId1"/>
    <sheet name="ByStudent" sheetId="47" r:id="rId2"/>
    <sheet name="ByProf" sheetId="71" r:id="rId3"/>
  </sheets>
  <functionGroups builtInGroupCount="18"/>
  <calcPr calcId="152511"/>
</workbook>
</file>

<file path=xl/calcChain.xml><?xml version="1.0" encoding="utf-8"?>
<calcChain xmlns="http://schemas.openxmlformats.org/spreadsheetml/2006/main">
  <c r="S35" i="71" l="1"/>
  <c r="S35" i="47"/>
  <c r="S22" i="47" l="1"/>
  <c r="S23" i="47"/>
  <c r="W45" i="71" l="1"/>
  <c r="BM35" i="47"/>
  <c r="BO35" i="47" s="1"/>
  <c r="BJ35" i="47"/>
  <c r="BK35" i="47"/>
  <c r="BC35" i="47"/>
  <c r="AX35" i="47"/>
  <c r="AY35" i="47"/>
  <c r="AZ35" i="47"/>
  <c r="BA35" i="47"/>
  <c r="AU35" i="47"/>
  <c r="O37" i="47"/>
  <c r="AT35" i="71"/>
  <c r="AV35" i="71" s="1"/>
  <c r="AQ35" i="71"/>
  <c r="AR35" i="71"/>
  <c r="AJ35" i="71"/>
  <c r="AE35" i="71"/>
  <c r="AF35" i="71"/>
  <c r="AG35" i="71"/>
  <c r="AH35" i="71"/>
  <c r="AB35" i="71"/>
  <c r="O37" i="71"/>
  <c r="AT34" i="71"/>
  <c r="AR34" i="71"/>
  <c r="AQ34" i="71"/>
  <c r="AJ34" i="71"/>
  <c r="AH34" i="71"/>
  <c r="AG34" i="71"/>
  <c r="AF34" i="71"/>
  <c r="AE34" i="71"/>
  <c r="AB34" i="71"/>
  <c r="S34" i="71"/>
  <c r="AV33" i="71"/>
  <c r="AU33" i="71"/>
  <c r="AX33" i="71"/>
  <c r="U33" i="71" s="1"/>
  <c r="AR33" i="71"/>
  <c r="AQ33" i="71"/>
  <c r="AL33" i="71"/>
  <c r="AV32" i="71"/>
  <c r="AU32" i="71"/>
  <c r="AX32" i="71" s="1"/>
  <c r="U32" i="71" s="1"/>
  <c r="AR32" i="71"/>
  <c r="AQ32" i="71"/>
  <c r="AL32" i="71"/>
  <c r="AJ31" i="71"/>
  <c r="AH31" i="71"/>
  <c r="AG31" i="71"/>
  <c r="AF31" i="71"/>
  <c r="AE31" i="71"/>
  <c r="AB31" i="71"/>
  <c r="S31" i="71"/>
  <c r="AJ30" i="71"/>
  <c r="AH30" i="71"/>
  <c r="AG30" i="71"/>
  <c r="AF30" i="71"/>
  <c r="AE30" i="71"/>
  <c r="AB30" i="71"/>
  <c r="S30" i="71"/>
  <c r="AJ29" i="71"/>
  <c r="AE29" i="71"/>
  <c r="AF29" i="71"/>
  <c r="AG29" i="71"/>
  <c r="AH29" i="71"/>
  <c r="AB29" i="71"/>
  <c r="S29" i="71"/>
  <c r="AJ28" i="71"/>
  <c r="AE28" i="71"/>
  <c r="AF28" i="71"/>
  <c r="AG28" i="71"/>
  <c r="AH28" i="71"/>
  <c r="AB28" i="71"/>
  <c r="S28" i="71"/>
  <c r="AJ27" i="71"/>
  <c r="AH27" i="71"/>
  <c r="AG27" i="71"/>
  <c r="AF27" i="71"/>
  <c r="AE27" i="71"/>
  <c r="AB27" i="71"/>
  <c r="S27" i="71"/>
  <c r="AJ26" i="71"/>
  <c r="AH26" i="71"/>
  <c r="AG26" i="71"/>
  <c r="AF26" i="71"/>
  <c r="AE26" i="71"/>
  <c r="AB26" i="71"/>
  <c r="S26" i="71"/>
  <c r="AJ23" i="71"/>
  <c r="AH23" i="71"/>
  <c r="AG23" i="71"/>
  <c r="AF23" i="71"/>
  <c r="AE23" i="71"/>
  <c r="AB23" i="71"/>
  <c r="S23" i="71"/>
  <c r="AJ22" i="71"/>
  <c r="AH22" i="71"/>
  <c r="AG22" i="71"/>
  <c r="AF22" i="71"/>
  <c r="AE22" i="71"/>
  <c r="AB22" i="71"/>
  <c r="S22" i="71"/>
  <c r="AJ21" i="71"/>
  <c r="AH21" i="71"/>
  <c r="AG21" i="71"/>
  <c r="AF21" i="71"/>
  <c r="AE21" i="71"/>
  <c r="AB21" i="71"/>
  <c r="S21" i="71"/>
  <c r="AV20" i="71"/>
  <c r="AU20" i="71"/>
  <c r="AR20" i="71"/>
  <c r="AQ20" i="71"/>
  <c r="AL20" i="71"/>
  <c r="AK20" i="71"/>
  <c r="AH20" i="71"/>
  <c r="AG20" i="71"/>
  <c r="AF20" i="71"/>
  <c r="AE20" i="71"/>
  <c r="S20" i="71"/>
  <c r="AV19" i="71"/>
  <c r="AU19" i="71"/>
  <c r="AR19" i="71"/>
  <c r="AQ19" i="71"/>
  <c r="AL19" i="71"/>
  <c r="AK19" i="71"/>
  <c r="AH19" i="71"/>
  <c r="AG19" i="71"/>
  <c r="AF19" i="71"/>
  <c r="AE19" i="71"/>
  <c r="S19" i="71"/>
  <c r="AT18" i="71"/>
  <c r="AR18" i="71"/>
  <c r="AQ18" i="71"/>
  <c r="AU18" i="71" s="1"/>
  <c r="AJ18" i="71"/>
  <c r="AH18" i="71"/>
  <c r="AG18" i="71"/>
  <c r="AF18" i="71"/>
  <c r="AE18" i="71"/>
  <c r="AB18" i="71"/>
  <c r="S18" i="71"/>
  <c r="AT17" i="71"/>
  <c r="AQ17" i="71"/>
  <c r="AR17" i="71"/>
  <c r="AJ17" i="71"/>
  <c r="AH17" i="71"/>
  <c r="AG17" i="71"/>
  <c r="AF17" i="71"/>
  <c r="AE17" i="71"/>
  <c r="AB17" i="71"/>
  <c r="S17" i="71"/>
  <c r="AT16" i="71"/>
  <c r="AR16" i="71"/>
  <c r="AQ16" i="71"/>
  <c r="AJ16" i="71"/>
  <c r="AH16" i="71"/>
  <c r="AG16" i="71"/>
  <c r="AF16" i="71"/>
  <c r="AE16" i="71"/>
  <c r="AK16" i="71" s="1"/>
  <c r="AB16" i="71"/>
  <c r="S16" i="71"/>
  <c r="AT15" i="71"/>
  <c r="AV15" i="71" s="1"/>
  <c r="AQ15" i="71"/>
  <c r="AR15" i="71"/>
  <c r="AJ15" i="71"/>
  <c r="AH15" i="71"/>
  <c r="AG15" i="71"/>
  <c r="AF15" i="71"/>
  <c r="AE15" i="71"/>
  <c r="AB15" i="71"/>
  <c r="S15" i="71"/>
  <c r="AU14" i="71"/>
  <c r="AR14" i="71"/>
  <c r="AQ14" i="71"/>
  <c r="AL14" i="71"/>
  <c r="AK14" i="71"/>
  <c r="AH14" i="71"/>
  <c r="AG14" i="71"/>
  <c r="AF14" i="71"/>
  <c r="AE14" i="71"/>
  <c r="S14" i="71"/>
  <c r="AU13" i="71"/>
  <c r="AR13" i="71"/>
  <c r="AQ13" i="71"/>
  <c r="AL13" i="71"/>
  <c r="AK13" i="71"/>
  <c r="AH13" i="71"/>
  <c r="AG13" i="71"/>
  <c r="AF13" i="71"/>
  <c r="AE13" i="71"/>
  <c r="S13" i="71"/>
  <c r="AT12" i="71"/>
  <c r="AQ12" i="71"/>
  <c r="AR12" i="71"/>
  <c r="AV12" i="71"/>
  <c r="AJ12" i="71"/>
  <c r="AH12" i="71"/>
  <c r="AG12" i="71"/>
  <c r="AF12" i="71"/>
  <c r="AE12" i="71"/>
  <c r="AB12" i="71"/>
  <c r="S12" i="71"/>
  <c r="AT11" i="71"/>
  <c r="AV11" i="71" s="1"/>
  <c r="AR11" i="71"/>
  <c r="AQ11" i="71"/>
  <c r="AJ11" i="71"/>
  <c r="AH11" i="71"/>
  <c r="AG11" i="71"/>
  <c r="AF11" i="71"/>
  <c r="AE11" i="71"/>
  <c r="AB11" i="71"/>
  <c r="S11" i="71"/>
  <c r="AT10" i="71"/>
  <c r="AR10" i="71"/>
  <c r="AQ10" i="71"/>
  <c r="AJ10" i="71"/>
  <c r="AH10" i="71"/>
  <c r="AG10" i="71"/>
  <c r="AF10" i="71"/>
  <c r="AE10" i="71"/>
  <c r="AB10" i="71"/>
  <c r="S10" i="71"/>
  <c r="AV9" i="71"/>
  <c r="AU9" i="71"/>
  <c r="AR9" i="71"/>
  <c r="AQ9" i="71"/>
  <c r="AL9" i="71"/>
  <c r="AK9" i="71"/>
  <c r="AH9" i="71"/>
  <c r="AG9" i="71"/>
  <c r="AF9" i="71"/>
  <c r="AE9" i="71"/>
  <c r="S9" i="71"/>
  <c r="AV8" i="71"/>
  <c r="AU8" i="71"/>
  <c r="AR8" i="71"/>
  <c r="AQ8" i="71"/>
  <c r="AL8" i="71"/>
  <c r="AK8" i="71"/>
  <c r="AH8" i="71"/>
  <c r="AG8" i="71"/>
  <c r="AF8" i="71"/>
  <c r="AE8" i="71"/>
  <c r="S8" i="71"/>
  <c r="AT7" i="71"/>
  <c r="AR7" i="71"/>
  <c r="AQ7" i="71"/>
  <c r="AJ7" i="71"/>
  <c r="AH7" i="71"/>
  <c r="AG7" i="71"/>
  <c r="AF7" i="71"/>
  <c r="AE7" i="71"/>
  <c r="AB7" i="71"/>
  <c r="S7" i="71"/>
  <c r="AT6" i="71"/>
  <c r="AU6" i="71" s="1"/>
  <c r="AR6" i="71"/>
  <c r="AQ6" i="71"/>
  <c r="AJ6" i="71"/>
  <c r="AH6" i="71"/>
  <c r="AG6" i="71"/>
  <c r="AF6" i="71"/>
  <c r="AE6" i="71"/>
  <c r="AB6" i="71"/>
  <c r="S6" i="71"/>
  <c r="AT5" i="71"/>
  <c r="AU5" i="71" s="1"/>
  <c r="AV5" i="71" s="1"/>
  <c r="AR5" i="71"/>
  <c r="AQ5" i="71"/>
  <c r="AJ5" i="71"/>
  <c r="AH5" i="71"/>
  <c r="AG5" i="71"/>
  <c r="AF5" i="71"/>
  <c r="AE5" i="71"/>
  <c r="AB5" i="71"/>
  <c r="S5" i="71"/>
  <c r="BO8" i="47"/>
  <c r="BO9" i="47"/>
  <c r="BE8" i="47"/>
  <c r="BE9" i="47"/>
  <c r="BE13" i="47"/>
  <c r="BE14" i="47"/>
  <c r="BE19" i="47"/>
  <c r="BE20" i="47"/>
  <c r="BE32" i="47"/>
  <c r="BE33" i="47"/>
  <c r="S34" i="47"/>
  <c r="AU34" i="47"/>
  <c r="AU6" i="47"/>
  <c r="AU7" i="47"/>
  <c r="AU10" i="47"/>
  <c r="AU11" i="47"/>
  <c r="AU12" i="47"/>
  <c r="AU15" i="47"/>
  <c r="AU16" i="47"/>
  <c r="AU17" i="47"/>
  <c r="AU18" i="47"/>
  <c r="AU21" i="47"/>
  <c r="AU22" i="47"/>
  <c r="AU23" i="47"/>
  <c r="AU26" i="47"/>
  <c r="AU27" i="47"/>
  <c r="AU28" i="47"/>
  <c r="AU29" i="47"/>
  <c r="AU30" i="47"/>
  <c r="AU31" i="47"/>
  <c r="AU5" i="47"/>
  <c r="S6" i="47"/>
  <c r="S7" i="47"/>
  <c r="S8" i="47"/>
  <c r="S9" i="47"/>
  <c r="S10" i="47"/>
  <c r="S13" i="47"/>
  <c r="S14" i="47"/>
  <c r="S15" i="47"/>
  <c r="S16" i="47"/>
  <c r="S17" i="47"/>
  <c r="S18" i="47"/>
  <c r="S19" i="47"/>
  <c r="S20" i="47"/>
  <c r="S21" i="47"/>
  <c r="S26" i="47"/>
  <c r="S27" i="47"/>
  <c r="S28" i="47"/>
  <c r="S29" i="47"/>
  <c r="S30" i="47"/>
  <c r="S31" i="47"/>
  <c r="S5" i="47"/>
  <c r="AV18" i="71"/>
  <c r="BJ6" i="47"/>
  <c r="BK6" i="47"/>
  <c r="BM6" i="47"/>
  <c r="BJ7" i="47"/>
  <c r="BK7" i="47"/>
  <c r="BM7" i="47"/>
  <c r="BJ8" i="47"/>
  <c r="BK8" i="47"/>
  <c r="BN8" i="47"/>
  <c r="BJ9" i="47"/>
  <c r="BK9" i="47"/>
  <c r="BN9" i="47"/>
  <c r="BJ10" i="47"/>
  <c r="BK10" i="47"/>
  <c r="BM10" i="47"/>
  <c r="BJ11" i="47"/>
  <c r="BK11" i="47"/>
  <c r="BM11" i="47"/>
  <c r="BJ12" i="47"/>
  <c r="BK12" i="47"/>
  <c r="BM12" i="47"/>
  <c r="BJ13" i="47"/>
  <c r="BK13" i="47"/>
  <c r="BN13" i="47"/>
  <c r="BJ14" i="47"/>
  <c r="BK14" i="47"/>
  <c r="BN14" i="47"/>
  <c r="BJ15" i="47"/>
  <c r="BK15" i="47"/>
  <c r="BM15" i="47"/>
  <c r="BJ16" i="47"/>
  <c r="BK16" i="47"/>
  <c r="BM16" i="47"/>
  <c r="BJ17" i="47"/>
  <c r="BK17" i="47"/>
  <c r="BM17" i="47"/>
  <c r="BJ18" i="47"/>
  <c r="BK18" i="47"/>
  <c r="BM18" i="47"/>
  <c r="BJ19" i="47"/>
  <c r="BK19" i="47"/>
  <c r="BN19" i="47"/>
  <c r="BO19" i="47"/>
  <c r="BJ20" i="47"/>
  <c r="BK20" i="47"/>
  <c r="BN20" i="47"/>
  <c r="BO20" i="47"/>
  <c r="BJ32" i="47"/>
  <c r="BK32" i="47"/>
  <c r="BO32" i="47"/>
  <c r="BN32" i="47"/>
  <c r="BQ32" i="47" s="1"/>
  <c r="U32" i="47" s="1"/>
  <c r="BJ33" i="47"/>
  <c r="BK33" i="47"/>
  <c r="BN33" i="47"/>
  <c r="BQ33" i="47" s="1"/>
  <c r="U33" i="47" s="1"/>
  <c r="BO33" i="47"/>
  <c r="BJ34" i="47"/>
  <c r="BK34" i="47"/>
  <c r="BM34" i="47"/>
  <c r="BM5" i="47"/>
  <c r="BC5" i="47"/>
  <c r="BK5" i="47"/>
  <c r="BJ5" i="47"/>
  <c r="AX5" i="47"/>
  <c r="AX8" i="47"/>
  <c r="AY8" i="47"/>
  <c r="AZ8" i="47"/>
  <c r="BA8" i="47"/>
  <c r="BD8" i="47"/>
  <c r="AX9" i="47"/>
  <c r="AY9" i="47"/>
  <c r="AZ9" i="47"/>
  <c r="BA9" i="47"/>
  <c r="BD9" i="47"/>
  <c r="AX10" i="47"/>
  <c r="AY10" i="47"/>
  <c r="AZ10" i="47"/>
  <c r="BA10" i="47"/>
  <c r="BC10" i="47"/>
  <c r="AX11" i="47"/>
  <c r="AY11" i="47"/>
  <c r="AZ11" i="47"/>
  <c r="BA11" i="47"/>
  <c r="BC11" i="47"/>
  <c r="AX12" i="47"/>
  <c r="AY12" i="47"/>
  <c r="AZ12" i="47"/>
  <c r="BA12" i="47"/>
  <c r="BC12" i="47"/>
  <c r="AX13" i="47"/>
  <c r="AY13" i="47"/>
  <c r="AZ13" i="47"/>
  <c r="BA13" i="47"/>
  <c r="BD13" i="47"/>
  <c r="AX14" i="47"/>
  <c r="AY14" i="47"/>
  <c r="AZ14" i="47"/>
  <c r="BA14" i="47"/>
  <c r="AX15" i="47"/>
  <c r="AY15" i="47"/>
  <c r="AZ15" i="47"/>
  <c r="BA15" i="47"/>
  <c r="BC15" i="47"/>
  <c r="AX16" i="47"/>
  <c r="AY16" i="47"/>
  <c r="AZ16" i="47"/>
  <c r="BA16" i="47"/>
  <c r="BC16" i="47"/>
  <c r="AX17" i="47"/>
  <c r="AY17" i="47"/>
  <c r="AZ17" i="47"/>
  <c r="BA17" i="47"/>
  <c r="BC17" i="47"/>
  <c r="AX18" i="47"/>
  <c r="AY18" i="47"/>
  <c r="AZ18" i="47"/>
  <c r="BA18" i="47"/>
  <c r="BC18" i="47"/>
  <c r="AX19" i="47"/>
  <c r="AY19" i="47"/>
  <c r="AZ19" i="47"/>
  <c r="BA19" i="47"/>
  <c r="BD19" i="47"/>
  <c r="BQ19" i="47" s="1"/>
  <c r="U19" i="47" s="1"/>
  <c r="AX20" i="47"/>
  <c r="AY20" i="47"/>
  <c r="AZ20" i="47"/>
  <c r="BA20" i="47"/>
  <c r="BD20" i="47"/>
  <c r="BQ20" i="47" s="1"/>
  <c r="U20" i="47" s="1"/>
  <c r="AX21" i="47"/>
  <c r="AY21" i="47"/>
  <c r="AZ21" i="47"/>
  <c r="BA21" i="47"/>
  <c r="BC21" i="47"/>
  <c r="AX22" i="47"/>
  <c r="AY22" i="47"/>
  <c r="AZ22" i="47"/>
  <c r="BA22" i="47"/>
  <c r="BC22" i="47"/>
  <c r="AX23" i="47"/>
  <c r="AY23" i="47"/>
  <c r="AZ23" i="47"/>
  <c r="BA23" i="47"/>
  <c r="BC23" i="47"/>
  <c r="AX26" i="47"/>
  <c r="AY26" i="47"/>
  <c r="AZ26" i="47"/>
  <c r="BA26" i="47"/>
  <c r="BC26" i="47"/>
  <c r="AX27" i="47"/>
  <c r="AY27" i="47"/>
  <c r="AZ27" i="47"/>
  <c r="BA27" i="47"/>
  <c r="BC27" i="47"/>
  <c r="AX28" i="47"/>
  <c r="AY28" i="47"/>
  <c r="AZ28" i="47"/>
  <c r="BA28" i="47"/>
  <c r="BC28" i="47"/>
  <c r="AX29" i="47"/>
  <c r="AY29" i="47"/>
  <c r="AZ29" i="47"/>
  <c r="BA29" i="47"/>
  <c r="BC29" i="47"/>
  <c r="AX30" i="47"/>
  <c r="AY30" i="47"/>
  <c r="AZ30" i="47"/>
  <c r="BA30" i="47"/>
  <c r="BC30" i="47"/>
  <c r="AX31" i="47"/>
  <c r="AY31" i="47"/>
  <c r="AZ31" i="47"/>
  <c r="BA31" i="47"/>
  <c r="BC31" i="47"/>
  <c r="AX34" i="47"/>
  <c r="AY34" i="47"/>
  <c r="AZ34" i="47"/>
  <c r="BA34" i="47"/>
  <c r="BC34" i="47"/>
  <c r="BD14" i="47"/>
  <c r="BC7" i="47"/>
  <c r="BA7" i="47"/>
  <c r="AZ7" i="47"/>
  <c r="AY7" i="47"/>
  <c r="AX7" i="47"/>
  <c r="BC6" i="47"/>
  <c r="BA6" i="47"/>
  <c r="AZ6" i="47"/>
  <c r="AY6" i="47"/>
  <c r="AX6" i="47"/>
  <c r="BA5" i="47"/>
  <c r="AZ5" i="47"/>
  <c r="AY5" i="47"/>
  <c r="BN11" i="47" l="1"/>
  <c r="BO11" i="47" s="1"/>
  <c r="BN7" i="47"/>
  <c r="BO7" i="47" s="1"/>
  <c r="AU17" i="71"/>
  <c r="AU34" i="71"/>
  <c r="AU7" i="71"/>
  <c r="AV7" i="71" s="1"/>
  <c r="AU10" i="71"/>
  <c r="AV10" i="71" s="1"/>
  <c r="AU16" i="71"/>
  <c r="AV17" i="71"/>
  <c r="AK11" i="71"/>
  <c r="AL11" i="71" s="1"/>
  <c r="AU12" i="71"/>
  <c r="AU11" i="71"/>
  <c r="AU15" i="71"/>
  <c r="AV16" i="71"/>
  <c r="AU35" i="71"/>
  <c r="AK5" i="71"/>
  <c r="AL5" i="71" s="1"/>
  <c r="AX5" i="71" s="1"/>
  <c r="U5" i="71" s="1"/>
  <c r="AK18" i="71"/>
  <c r="AL18" i="71" s="1"/>
  <c r="AX18" i="71" s="1"/>
  <c r="U18" i="71" s="1"/>
  <c r="AK27" i="71"/>
  <c r="AK31" i="71"/>
  <c r="AV6" i="71"/>
  <c r="AV34" i="71"/>
  <c r="AK23" i="71"/>
  <c r="AL23" i="71" s="1"/>
  <c r="AX23" i="71" s="1"/>
  <c r="U23" i="71" s="1"/>
  <c r="AX11" i="71"/>
  <c r="U11" i="71" s="1"/>
  <c r="AX20" i="71"/>
  <c r="U20" i="71" s="1"/>
  <c r="AK35" i="71"/>
  <c r="AK34" i="71"/>
  <c r="AL34" i="71" s="1"/>
  <c r="AX34" i="71" s="1"/>
  <c r="U34" i="71" s="1"/>
  <c r="BN18" i="47"/>
  <c r="BO18" i="47" s="1"/>
  <c r="BN17" i="47"/>
  <c r="BO17" i="47" s="1"/>
  <c r="BN12" i="47"/>
  <c r="BO12" i="47" s="1"/>
  <c r="BD5" i="47"/>
  <c r="BE5" i="47" s="1"/>
  <c r="BD6" i="47"/>
  <c r="BE6" i="47" s="1"/>
  <c r="BD26" i="47"/>
  <c r="BE26" i="47" s="1"/>
  <c r="BQ26" i="47" s="1"/>
  <c r="U26" i="47" s="1"/>
  <c r="W26" i="71" s="1"/>
  <c r="BD27" i="47"/>
  <c r="BE27" i="47" s="1"/>
  <c r="BQ27" i="47" s="1"/>
  <c r="U27" i="47" s="1"/>
  <c r="W27" i="71" s="1"/>
  <c r="BD34" i="47"/>
  <c r="BE34" i="47" s="1"/>
  <c r="BD30" i="47"/>
  <c r="BE30" i="47" s="1"/>
  <c r="BQ30" i="47" s="1"/>
  <c r="U30" i="47" s="1"/>
  <c r="W30" i="71" s="1"/>
  <c r="BD28" i="47"/>
  <c r="BE28" i="47" s="1"/>
  <c r="BQ28" i="47" s="1"/>
  <c r="U28" i="47" s="1"/>
  <c r="W28" i="71" s="1"/>
  <c r="BN10" i="47"/>
  <c r="BO10" i="47" s="1"/>
  <c r="BD12" i="47"/>
  <c r="BD11" i="47"/>
  <c r="BE11" i="47" s="1"/>
  <c r="BQ11" i="47" s="1"/>
  <c r="U11" i="47" s="1"/>
  <c r="BN34" i="47"/>
  <c r="BO34" i="47" s="1"/>
  <c r="BD7" i="47"/>
  <c r="BE7" i="47" s="1"/>
  <c r="BQ7" i="47" s="1"/>
  <c r="U7" i="47" s="1"/>
  <c r="BD31" i="47"/>
  <c r="BE31" i="47" s="1"/>
  <c r="BQ31" i="47" s="1"/>
  <c r="U31" i="47" s="1"/>
  <c r="W31" i="71" s="1"/>
  <c r="BD23" i="47"/>
  <c r="BE23" i="47" s="1"/>
  <c r="BQ23" i="47" s="1"/>
  <c r="U23" i="47" s="1"/>
  <c r="W23" i="71" s="1"/>
  <c r="BD18" i="47"/>
  <c r="BE18" i="47" s="1"/>
  <c r="BQ18" i="47" s="1"/>
  <c r="U18" i="47" s="1"/>
  <c r="BD15" i="47"/>
  <c r="BE15" i="47" s="1"/>
  <c r="BD10" i="47"/>
  <c r="BE10" i="47" s="1"/>
  <c r="BN15" i="47"/>
  <c r="BO15" i="47" s="1"/>
  <c r="BD22" i="47"/>
  <c r="BE22" i="47" s="1"/>
  <c r="BQ22" i="47" s="1"/>
  <c r="U22" i="47" s="1"/>
  <c r="BN16" i="47"/>
  <c r="BO16" i="47" s="1"/>
  <c r="BN6" i="47"/>
  <c r="BO6" i="47" s="1"/>
  <c r="BD29" i="47"/>
  <c r="BE29" i="47" s="1"/>
  <c r="BQ29" i="47" s="1"/>
  <c r="U29" i="47" s="1"/>
  <c r="W29" i="71" s="1"/>
  <c r="BD16" i="47"/>
  <c r="BE16" i="47" s="1"/>
  <c r="BN5" i="47"/>
  <c r="BO5" i="47" s="1"/>
  <c r="AU37" i="47"/>
  <c r="BE12" i="47"/>
  <c r="BD35" i="47"/>
  <c r="BE35" i="47" s="1"/>
  <c r="BQ35" i="47" s="1"/>
  <c r="U35" i="47" s="1"/>
  <c r="BN35" i="47"/>
  <c r="BD21" i="47"/>
  <c r="BE21" i="47" s="1"/>
  <c r="BQ21" i="47" s="1"/>
  <c r="U21" i="47" s="1"/>
  <c r="BD17" i="47"/>
  <c r="BE17" i="47" s="1"/>
  <c r="BQ17" i="47" s="1"/>
  <c r="U17" i="47" s="1"/>
  <c r="AK30" i="71"/>
  <c r="AL30" i="71" s="1"/>
  <c r="AX30" i="71" s="1"/>
  <c r="U30" i="71" s="1"/>
  <c r="AB37" i="71"/>
  <c r="AK6" i="71"/>
  <c r="AL6" i="71" s="1"/>
  <c r="AK15" i="71"/>
  <c r="AL15" i="71" s="1"/>
  <c r="AX15" i="71" s="1"/>
  <c r="U15" i="71" s="1"/>
  <c r="AK17" i="71"/>
  <c r="AL16" i="71"/>
  <c r="AX16" i="71" s="1"/>
  <c r="U16" i="71" s="1"/>
  <c r="AL17" i="71"/>
  <c r="AX17" i="71" s="1"/>
  <c r="U17" i="71" s="1"/>
  <c r="AK7" i="71"/>
  <c r="AL7" i="71" s="1"/>
  <c r="AX7" i="71" s="1"/>
  <c r="U7" i="71" s="1"/>
  <c r="AK12" i="71"/>
  <c r="AL12" i="71" s="1"/>
  <c r="AX12" i="71" s="1"/>
  <c r="U12" i="71" s="1"/>
  <c r="AK29" i="71"/>
  <c r="AL29" i="71" s="1"/>
  <c r="AX29" i="71" s="1"/>
  <c r="U29" i="71" s="1"/>
  <c r="AK26" i="71"/>
  <c r="AL26" i="71" s="1"/>
  <c r="AX26" i="71" s="1"/>
  <c r="U26" i="71" s="1"/>
  <c r="AL27" i="71"/>
  <c r="AX27" i="71" s="1"/>
  <c r="U27" i="71" s="1"/>
  <c r="AK28" i="71"/>
  <c r="AK21" i="71"/>
  <c r="AL21" i="71" s="1"/>
  <c r="AX21" i="71" s="1"/>
  <c r="U21" i="71" s="1"/>
  <c r="AK22" i="71"/>
  <c r="AL22" i="71" s="1"/>
  <c r="AX22" i="71" s="1"/>
  <c r="U22" i="71" s="1"/>
  <c r="AL31" i="71"/>
  <c r="AX31" i="71" s="1"/>
  <c r="U31" i="71" s="1"/>
  <c r="AX19" i="71"/>
  <c r="U19" i="71" s="1"/>
  <c r="AL28" i="71"/>
  <c r="AX28" i="71" s="1"/>
  <c r="U28" i="71" s="1"/>
  <c r="AK10" i="71"/>
  <c r="AL10" i="71" s="1"/>
  <c r="AL35" i="71"/>
  <c r="AX35" i="71" s="1"/>
  <c r="U35" i="71" s="1"/>
  <c r="W18" i="71" l="1"/>
  <c r="W11" i="71"/>
  <c r="AX6" i="71"/>
  <c r="U6" i="71" s="1"/>
  <c r="BQ12" i="47"/>
  <c r="U12" i="47" s="1"/>
  <c r="BQ10" i="47"/>
  <c r="U10" i="47" s="1"/>
  <c r="W7" i="71"/>
  <c r="BQ15" i="47"/>
  <c r="U15" i="47" s="1"/>
  <c r="W15" i="71" s="1"/>
  <c r="BQ34" i="47"/>
  <c r="U34" i="47" s="1"/>
  <c r="W34" i="71" s="1"/>
  <c r="BQ5" i="47"/>
  <c r="U5" i="47" s="1"/>
  <c r="W5" i="71" s="1"/>
  <c r="W12" i="71"/>
  <c r="BQ16" i="47"/>
  <c r="U16" i="47" s="1"/>
  <c r="W16" i="71" s="1"/>
  <c r="W35" i="71"/>
  <c r="BQ6" i="47"/>
  <c r="U6" i="47" s="1"/>
  <c r="W21" i="71"/>
  <c r="W17" i="71"/>
  <c r="BE37" i="47"/>
  <c r="BE39" i="47" s="1"/>
  <c r="BE41" i="47" s="1"/>
  <c r="W22" i="71"/>
  <c r="AX10" i="71"/>
  <c r="AL37" i="71"/>
  <c r="AL39" i="71" s="1"/>
  <c r="AL41" i="71" s="1"/>
  <c r="W6" i="71" l="1"/>
  <c r="BQ37" i="47"/>
  <c r="BQ39" i="47" s="1"/>
  <c r="BQ41" i="47" s="1"/>
  <c r="U10" i="71"/>
  <c r="W10" i="71" s="1"/>
  <c r="AX37" i="71"/>
  <c r="G48" i="47"/>
  <c r="U37" i="47" l="1"/>
  <c r="AX39" i="71"/>
  <c r="AX41" i="71" s="1"/>
  <c r="U37" i="71"/>
  <c r="G49" i="71"/>
  <c r="W49" i="71" l="1"/>
</calcChain>
</file>

<file path=xl/sharedStrings.xml><?xml version="1.0" encoding="utf-8"?>
<sst xmlns="http://schemas.openxmlformats.org/spreadsheetml/2006/main" count="211" uniqueCount="79">
  <si>
    <t>Bonus / Malus</t>
  </si>
  <si>
    <t>Rippling</t>
  </si>
  <si>
    <t>Newton</t>
  </si>
  <si>
    <t>Mean</t>
  </si>
  <si>
    <t>Ponderer</t>
  </si>
  <si>
    <t>#croix</t>
  </si>
  <si>
    <t>Intrevention constructive pendant cours</t>
  </si>
  <si>
    <t>Plagiat</t>
  </si>
  <si>
    <t>Montecarlo</t>
  </si>
  <si>
    <t>Cuda</t>
  </si>
  <si>
    <t>Bandwith</t>
  </si>
  <si>
    <t>OMP</t>
  </si>
  <si>
    <t>Level I</t>
  </si>
  <si>
    <t>Mandelbrot &amp; Julia</t>
  </si>
  <si>
    <t>Level II</t>
  </si>
  <si>
    <t>Ray tracing</t>
  </si>
  <si>
    <t>Heat transfert</t>
  </si>
  <si>
    <t>Level III</t>
  </si>
  <si>
    <t>Produit Scalaire</t>
  </si>
  <si>
    <t>Histogramme</t>
  </si>
  <si>
    <t>Saucisson</t>
  </si>
  <si>
    <t>Level IV</t>
  </si>
  <si>
    <t>Multi GPU : Montecarlo</t>
  </si>
  <si>
    <t>Multi GPU : Mandelbrot</t>
  </si>
  <si>
    <t>Multi GPU : Heat Transfert</t>
  </si>
  <si>
    <t>Multi GPU : Convolution</t>
  </si>
  <si>
    <t>Interop GL : Courbe</t>
  </si>
  <si>
    <t>Interop GL : Surface</t>
  </si>
  <si>
    <t>Demo</t>
  </si>
  <si>
    <t xml:space="preserve">     arrondie au dixième</t>
  </si>
  <si>
    <t>x</t>
  </si>
  <si>
    <t>Poids(TP)</t>
  </si>
  <si>
    <t>Actif</t>
  </si>
  <si>
    <t>Poids Effectif</t>
  </si>
  <si>
    <t>Sum</t>
  </si>
  <si>
    <t>in [-5,5]</t>
  </si>
  <si>
    <t>Note in [1,6]</t>
  </si>
  <si>
    <t>Moyenne in [0,3]</t>
  </si>
  <si>
    <t>Fusion</t>
  </si>
  <si>
    <t>Evaluation</t>
  </si>
  <si>
    <t>Open</t>
  </si>
  <si>
    <t>Max</t>
  </si>
  <si>
    <t>score</t>
  </si>
  <si>
    <t>Score</t>
  </si>
  <si>
    <t>Prof-Auto</t>
  </si>
  <si>
    <t>Nom</t>
  </si>
  <si>
    <t>Prénom</t>
  </si>
  <si>
    <t>Acompte Cuda</t>
  </si>
  <si>
    <t>Identification</t>
  </si>
  <si>
    <t>Convolution</t>
  </si>
  <si>
    <t>Remarques</t>
  </si>
  <si>
    <t>Delta Score</t>
  </si>
  <si>
    <t>Consolidation</t>
  </si>
  <si>
    <t>Delta Bonus</t>
  </si>
  <si>
    <t>git</t>
  </si>
  <si>
    <t>Level V</t>
  </si>
  <si>
    <t>SM</t>
  </si>
  <si>
    <t>CM</t>
  </si>
  <si>
    <t>ZeroCopyMemory</t>
  </si>
  <si>
    <t>cppTest</t>
  </si>
  <si>
    <t>Hiérarchie</t>
  </si>
  <si>
    <t>GM</t>
  </si>
  <si>
    <t>Multi Implémentations</t>
  </si>
  <si>
    <t>Informatif</t>
  </si>
  <si>
    <t>Texture</t>
  </si>
  <si>
    <t>Projet séparé</t>
  </si>
  <si>
    <t>Remarques (justifiant 2.5 ou 3)</t>
  </si>
  <si>
    <t>Mouse Event</t>
  </si>
  <si>
    <t>Placement window</t>
  </si>
  <si>
    <t>FreeOpneGL</t>
  </si>
  <si>
    <t>Mandelbrot</t>
  </si>
  <si>
    <t>Speedup (Graphe, …)</t>
  </si>
  <si>
    <t>Utile des n &gt; seuil=?</t>
  </si>
  <si>
    <t>Réduction GM (sans SM)</t>
  </si>
  <si>
    <t>Graphes multiples</t>
  </si>
  <si>
    <t>Api Graphe</t>
  </si>
  <si>
    <t>Dégradé</t>
  </si>
  <si>
    <t>P2P</t>
  </si>
  <si>
    <t>Tiling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</si>
</sst>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10"/>
      <color rgb="FF00B0F0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0" fontId="3" fillId="0" borderId="0" xfId="0" applyFont="1" applyBorder="1"/>
    <xf numFmtId="0" fontId="3" fillId="0" borderId="9" xfId="0" applyFont="1" applyBorder="1"/>
    <xf numFmtId="13" fontId="3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0" fillId="0" borderId="0" xfId="0" applyNumberFormat="1" applyFill="1" applyBorder="1" applyAlignment="1">
      <alignment horizontal="center"/>
    </xf>
    <xf numFmtId="16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/>
    <xf numFmtId="1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NumberFormat="1" applyFill="1" applyBorder="1"/>
    <xf numFmtId="2" fontId="6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/>
    <xf numFmtId="0" fontId="0" fillId="0" borderId="6" xfId="0" applyBorder="1"/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2" fillId="0" borderId="16" xfId="0" applyFont="1" applyBorder="1" applyAlignment="1"/>
    <xf numFmtId="0" fontId="3" fillId="0" borderId="0" xfId="0" applyFont="1" applyBorder="1" applyAlignment="1">
      <alignment horizontal="center" textRotation="90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3" fillId="0" borderId="0" xfId="0" applyFont="1" applyBorder="1" applyAlignment="1">
      <alignment horizontal="center" textRotation="90" wrapText="1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2" fontId="1" fillId="0" borderId="0" xfId="0" applyNumberFormat="1" applyFont="1" applyAlignment="1">
      <alignment horizontal="left" indent="1"/>
    </xf>
    <xf numFmtId="0" fontId="5" fillId="3" borderId="0" xfId="0" applyFont="1" applyFill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9" borderId="24" xfId="0" applyFill="1" applyBorder="1"/>
    <xf numFmtId="0" fontId="0" fillId="9" borderId="25" xfId="0" applyFill="1" applyBorder="1"/>
    <xf numFmtId="0" fontId="0" fillId="0" borderId="19" xfId="0" applyBorder="1"/>
    <xf numFmtId="0" fontId="0" fillId="9" borderId="21" xfId="0" applyFill="1" applyBorder="1"/>
    <xf numFmtId="164" fontId="0" fillId="0" borderId="0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64" fontId="5" fillId="0" borderId="0" xfId="0" applyNumberFormat="1" applyFont="1"/>
    <xf numFmtId="0" fontId="3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vertical="center"/>
    </xf>
    <xf numFmtId="0" fontId="5" fillId="0" borderId="0" xfId="0" applyFont="1" applyBorder="1" applyAlignment="1" applyProtection="1">
      <alignment horizontal="center"/>
      <protection locked="0"/>
    </xf>
    <xf numFmtId="0" fontId="3" fillId="0" borderId="0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5" fillId="0" borderId="6" xfId="0" applyFont="1" applyBorder="1" applyAlignment="1" applyProtection="1">
      <alignment horizontal="center"/>
      <protection locked="0"/>
    </xf>
    <xf numFmtId="0" fontId="3" fillId="0" borderId="6" xfId="0" applyNumberFormat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5" fillId="0" borderId="3" xfId="0" applyFont="1" applyBorder="1" applyAlignment="1" applyProtection="1">
      <alignment horizontal="center"/>
      <protection locked="0"/>
    </xf>
    <xf numFmtId="0" fontId="3" fillId="0" borderId="3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0" borderId="1" xfId="0" applyBorder="1"/>
    <xf numFmtId="164" fontId="5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" fontId="0" fillId="0" borderId="0" xfId="0" applyNumberFormat="1" applyAlignment="1">
      <alignment horizontal="center"/>
    </xf>
    <xf numFmtId="164" fontId="0" fillId="0" borderId="0" xfId="0" applyNumberFormat="1" applyBorder="1"/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4" fillId="4" borderId="17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2" borderId="3" xfId="0" applyFont="1" applyFill="1" applyBorder="1" applyAlignment="1">
      <alignment horizontal="center" textRotation="90"/>
    </xf>
    <xf numFmtId="0" fontId="3" fillId="12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/>
    </xf>
    <xf numFmtId="0" fontId="3" fillId="0" borderId="13" xfId="0" applyFont="1" applyBorder="1" applyAlignment="1">
      <alignment horizontal="center" textRotation="90" wrapText="1"/>
    </xf>
    <xf numFmtId="0" fontId="3" fillId="0" borderId="15" xfId="0" applyFont="1" applyBorder="1" applyAlignment="1">
      <alignment horizontal="center" textRotation="90"/>
    </xf>
    <xf numFmtId="0" fontId="3" fillId="0" borderId="0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3" fillId="15" borderId="2" xfId="0" applyFont="1" applyFill="1" applyBorder="1" applyAlignment="1">
      <alignment horizontal="center" textRotation="90"/>
    </xf>
    <xf numFmtId="0" fontId="3" fillId="15" borderId="5" xfId="0" applyFont="1" applyFill="1" applyBorder="1" applyAlignment="1">
      <alignment horizontal="center" textRotation="90"/>
    </xf>
    <xf numFmtId="0" fontId="8" fillId="13" borderId="13" xfId="0" applyFont="1" applyFill="1" applyBorder="1" applyAlignment="1">
      <alignment horizontal="center" textRotation="90"/>
    </xf>
    <xf numFmtId="0" fontId="8" fillId="13" borderId="15" xfId="0" applyFont="1" applyFill="1" applyBorder="1" applyAlignment="1">
      <alignment horizontal="center" textRotation="90"/>
    </xf>
    <xf numFmtId="0" fontId="4" fillId="5" borderId="17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64" fontId="4" fillId="0" borderId="17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19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/>
    </xf>
  </cellXfs>
  <cellStyles count="1">
    <cellStyle name="Normal" xfId="0" builtinId="0"/>
  </cellStyles>
  <dxfs count="28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FF66FF"/>
      <color rgb="FFFF99FF"/>
      <color rgb="FFFFCCFF"/>
      <color rgb="FFFF99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666750</xdr:colOff>
      <xdr:row>11</xdr:row>
      <xdr:rowOff>85725</xdr:rowOff>
    </xdr:to>
    <xdr:sp macro="" textlink="">
      <xdr:nvSpPr>
        <xdr:cNvPr id="2" name="ZoneTexte 1"/>
        <xdr:cNvSpPr txBox="1"/>
      </xdr:nvSpPr>
      <xdr:spPr>
        <a:xfrm>
          <a:off x="295275" y="1647825"/>
          <a:ext cx="3705225" cy="409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Réaliser votre </a:t>
          </a:r>
          <a:r>
            <a:rPr lang="fr-CH" sz="1100" b="1">
              <a:solidFill>
                <a:srgbClr val="FF0000"/>
              </a:solidFill>
            </a:rPr>
            <a:t>auto</a:t>
          </a:r>
          <a:r>
            <a:rPr lang="fr-CH" sz="1100" b="1" baseline="0">
              <a:solidFill>
                <a:srgbClr val="FF0000"/>
              </a:solidFill>
            </a:rPr>
            <a:t> Evaluation </a:t>
          </a:r>
          <a:r>
            <a:rPr lang="fr-CH" sz="1100" baseline="0"/>
            <a:t>dans l'onglet </a:t>
          </a:r>
          <a:r>
            <a:rPr lang="fr-CH" sz="1100" b="1" i="1" baseline="0"/>
            <a:t>ByStudent</a:t>
          </a:r>
          <a:r>
            <a:rPr lang="fr-CH" sz="1100" baseline="0"/>
            <a:t>!</a:t>
          </a:r>
          <a:endParaRPr lang="fr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51</xdr:row>
      <xdr:rowOff>57147</xdr:rowOff>
    </xdr:from>
    <xdr:to>
      <xdr:col>19</xdr:col>
      <xdr:colOff>38100</xdr:colOff>
      <xdr:row>104</xdr:row>
      <xdr:rowOff>104775</xdr:rowOff>
    </xdr:to>
    <xdr:sp macro="" textlink="">
      <xdr:nvSpPr>
        <xdr:cNvPr id="2" name="ZoneTexte 1"/>
        <xdr:cNvSpPr txBox="1"/>
      </xdr:nvSpPr>
      <xdr:spPr>
        <a:xfrm>
          <a:off x="285750" y="7762872"/>
          <a:ext cx="7286625" cy="8639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800" b="1" u="sng"/>
            <a:t>User</a:t>
          </a:r>
          <a:r>
            <a:rPr lang="fr-CH" sz="1800" b="1" u="sng" baseline="0"/>
            <a:t> Guide</a:t>
          </a:r>
        </a:p>
        <a:p>
          <a:endParaRPr lang="fr-CH" sz="1100" baseline="0"/>
        </a:p>
        <a:p>
          <a:r>
            <a:rPr lang="fr-CH" sz="1100" baseline="0"/>
            <a:t>Mettez des x dans les colonnes OMP et Cuda</a:t>
          </a:r>
        </a:p>
        <a:p>
          <a:endParaRPr lang="fr-CH" sz="1100" baseline="0"/>
        </a:p>
        <a:p>
          <a:r>
            <a:rPr lang="fr-CH" sz="1100" b="1" u="sng" baseline="0"/>
            <a:t>OMP</a:t>
          </a:r>
        </a:p>
        <a:p>
          <a:r>
            <a:rPr lang="fr-CH" sz="1100" baseline="0"/>
            <a:t>    1 ---&gt; TP fonctionel</a:t>
          </a:r>
        </a:p>
        <a:p>
          <a:r>
            <a:rPr lang="fr-CH" sz="1100" baseline="0"/>
            <a:t>    0 ---&gt; sinon</a:t>
          </a:r>
        </a:p>
        <a:p>
          <a:endParaRPr lang="fr-CH" sz="1100" baseline="0"/>
        </a:p>
        <a:p>
          <a:r>
            <a:rPr lang="fr-CH" sz="1100" b="1" u="sng" baseline="0"/>
            <a:t>Cuda</a:t>
          </a:r>
        </a:p>
        <a:p>
          <a:r>
            <a:rPr lang="fr-CH" sz="1100" baseline="0"/>
            <a:t>    3 ---&gt; TP fonctionel parfait, multiples implémentations, test unitaires (TP non graphiques)</a:t>
          </a:r>
        </a:p>
        <a:p>
          <a:r>
            <a:rPr lang="fr-CH"/>
            <a:t>    2</a:t>
          </a:r>
          <a:r>
            <a:rPr lang="fr-CH" baseline="0"/>
            <a:t> ---&gt; TP fonctionel</a:t>
          </a:r>
        </a:p>
        <a:p>
          <a:r>
            <a:rPr lang="fr-CH" baseline="0"/>
            <a:t>    1 ---&gt; code non fonctionel, mais presque aboutit</a:t>
          </a:r>
        </a:p>
        <a:p>
          <a:r>
            <a:rPr lang="fr-CH" baseline="0"/>
            <a:t>    0 ---&gt; sinon</a:t>
          </a:r>
        </a:p>
        <a:p>
          <a:endParaRPr lang="fr-CH" baseline="0"/>
        </a:p>
        <a:p>
          <a:r>
            <a:rPr lang="fr-CH" baseline="0"/>
            <a:t>Dans le cas des 3 points, vous devez nécessairement argumentés votre auto-évaluation</a:t>
          </a:r>
        </a:p>
        <a:p>
          <a:endParaRPr lang="fr-CH" baseline="0"/>
        </a:p>
        <a:p>
          <a:r>
            <a:rPr lang="fr-CH" b="1" u="sng" baseline="0"/>
            <a:t>Scores</a:t>
          </a:r>
        </a:p>
        <a:p>
          <a:r>
            <a:rPr lang="fr-CH" baseline="0"/>
            <a:t>     (N1)   Plusieurs x par ligne peuvent être placés pour indiquer des notes intremédiaires .</a:t>
          </a:r>
        </a:p>
        <a:p>
          <a:r>
            <a:rPr lang="fr-CH" baseline="0"/>
            <a:t>     (N2)   score(tp)=max(scoreOMP(tp), scoreCuda(tp)) </a:t>
          </a:r>
        </a:p>
        <a:p>
          <a:endParaRPr lang="fr-CH" baseline="0"/>
        </a:p>
        <a:p>
          <a:r>
            <a:rPr lang="fr-CH" b="1" u="sng" baseline="0"/>
            <a:t>Définition</a:t>
          </a:r>
        </a:p>
        <a:p>
          <a:r>
            <a:rPr lang="fr-CH" b="0" u="none" baseline="0"/>
            <a:t>   Un Tp est </a:t>
          </a:r>
          <a:r>
            <a:rPr lang="fr-CH" b="0" u="sng" baseline="0"/>
            <a:t>Open</a:t>
          </a:r>
          <a:r>
            <a:rPr lang="fr-CH" b="0" u="none" baseline="0"/>
            <a:t> si il est pris en compte pour l'évaluation.</a:t>
          </a:r>
        </a:p>
        <a:p>
          <a:r>
            <a:rPr lang="fr-CH" b="0" u="none" baseline="0"/>
            <a:t>   Un Tp est </a:t>
          </a:r>
          <a:r>
            <a:rPr lang="fr-CH" b="0" u="sng" baseline="0"/>
            <a:t>Actif</a:t>
          </a:r>
          <a:r>
            <a:rPr lang="fr-CH" b="0" u="none" baseline="0"/>
            <a:t> si il fait partie des TP a réaliser.</a:t>
          </a:r>
        </a:p>
        <a:p>
          <a:r>
            <a:rPr lang="fr-CH" b="0" u="none" baseline="0"/>
            <a:t>   Un Tp Open non Actif permet  d'obtenir des bonus</a:t>
          </a:r>
        </a:p>
        <a:p>
          <a:endParaRPr lang="fr-CH" b="0" u="none" baseline="0"/>
        </a:p>
        <a:p>
          <a:r>
            <a:rPr lang="fr-CH" b="1" u="sng" baseline="0"/>
            <a:t>Remarques</a:t>
          </a:r>
        </a:p>
        <a:p>
          <a:r>
            <a:rPr lang="fr-CH" b="0" u="none" baseline="0"/>
            <a:t>   Dans la colonne </a:t>
          </a:r>
          <a:r>
            <a:rPr lang="fr-CH" b="0" i="1" u="none" baseline="0"/>
            <a:t>Remarques</a:t>
          </a:r>
          <a:r>
            <a:rPr lang="fr-CH" b="0" u="none" baseline="0"/>
            <a:t>, indiquer des arguments plaidant en votre faveur, notamment dans les deux cas suivants:</a:t>
          </a:r>
        </a:p>
        <a:p>
          <a:r>
            <a:rPr lang="fr-CH" b="0" u="none" baseline="0"/>
            <a:t>      - Vous vous êtes évaluer à 2.5 ou 3 points!</a:t>
          </a:r>
        </a:p>
        <a:p>
          <a:r>
            <a:rPr lang="fr-CH" b="0" u="none" baseline="0"/>
            <a:t>     -  Vous vous êtes attribuer un bonus (ou un malus)</a:t>
          </a:r>
        </a:p>
        <a:p>
          <a:endParaRPr lang="fr-CH" b="0" u="none" baseline="0"/>
        </a:p>
        <a:p>
          <a:r>
            <a:rPr lang="fr-CH" b="1" u="sng" baseline="0"/>
            <a:t>Important</a:t>
          </a:r>
        </a:p>
        <a:p>
          <a:r>
            <a:rPr lang="fr-CH" b="0" u="none" baseline="0"/>
            <a:t>   N'oubliez pas de remplire les champs d'identification dans l'onglet du même nom.</a:t>
          </a:r>
        </a:p>
        <a:p>
          <a:endParaRPr lang="fr-CH" b="0" u="none" baseline="0"/>
        </a:p>
        <a:p>
          <a:r>
            <a:rPr lang="fr-CH" b="1" u="sng" baseline="0"/>
            <a:t>Tip</a:t>
          </a:r>
        </a:p>
        <a:p>
          <a:r>
            <a:rPr lang="fr-CH" b="0" u="none" baseline="0"/>
            <a:t>  Ce classeur excel utilise des macros. Passer sous windows pour le remplire.</a:t>
          </a:r>
        </a:p>
        <a:p>
          <a:endParaRPr lang="fr-CH" b="0" u="none" baseline="0"/>
        </a:p>
        <a:p>
          <a:r>
            <a:rPr lang="fr-CH" b="1" u="sng" baseline="0"/>
            <a:t>Evaluation Git</a:t>
          </a:r>
        </a:p>
        <a:p>
          <a:r>
            <a:rPr lang="fr-CH" b="0" u="none" baseline="0"/>
            <a:t>  Méthode 1 :   Donner la commande de clonage et le  password. Utiliser à cet effet, un script :</a:t>
          </a:r>
          <a:r>
            <a:rPr lang="fr-CH" b="0" i="1" u="none" baseline="0"/>
            <a:t>gitClone.sh</a:t>
          </a:r>
        </a:p>
        <a:p>
          <a:r>
            <a:rPr lang="fr-CH" b="0" u="none" baseline="0"/>
            <a:t>                           Le password sera mis sous forme de commentaire dans le script.</a:t>
          </a:r>
        </a:p>
        <a:p>
          <a:r>
            <a:rPr lang="fr-CH" b="0" u="none" baseline="0"/>
            <a:t>  Méthode 2:    Donner des printscreen coté serveur montrant l'existence de votre repository git.</a:t>
          </a:r>
        </a:p>
        <a:p>
          <a:endParaRPr lang="fr-CH" b="0" u="none" baseline="0"/>
        </a:p>
        <a:p>
          <a:r>
            <a:rPr lang="fr-CH" b="1" u="sng" baseline="0"/>
            <a:t>Evaluation Tp non graphiques:</a:t>
          </a:r>
        </a:p>
        <a:p>
          <a:r>
            <a:rPr lang="fr-CH" b="0" u="none" baseline="0"/>
            <a:t>  Soignez les affichages consoles pour valoriser les TP non graphique</a:t>
          </a:r>
        </a:p>
        <a:p>
          <a:r>
            <a:rPr lang="fr-CH" b="0" u="none" baseline="0"/>
            <a:t>  Ce qui est affiché doit être pertinent et utile!</a:t>
          </a:r>
        </a:p>
        <a:p>
          <a:r>
            <a:rPr lang="fr-CH" b="0" u="none" baseline="0"/>
            <a:t>  Virer les informations inutiles dont vous êtes responsables.</a:t>
          </a:r>
        </a:p>
        <a:p>
          <a:endParaRPr lang="fr-CH" sz="1100" b="1" u="sng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CH" sz="11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Multi-Implémentations</a:t>
          </a:r>
        </a:p>
        <a:p>
          <a:r>
            <a:rPr lang="fr-CH" b="0" u="none" baseline="0"/>
            <a:t>Dans les colonnes roses, indiquez là ou c'est possible, avec une croix, si vous avez utilisez une technique spéciale!</a:t>
          </a:r>
        </a:p>
        <a:p>
          <a:r>
            <a:rPr lang="fr-CH" b="0" u="none" baseline="0"/>
            <a:t>Dans la colonne noire, indiquer le nombre d'implémentations (Cuda) différentes et fonctionelles!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tabSelected="1" workbookViewId="0">
      <selection activeCell="D21" sqref="D21"/>
    </sheetView>
  </sheetViews>
  <sheetFormatPr baseColWidth="10" defaultRowHeight="12.75" x14ac:dyDescent="0.2"/>
  <cols>
    <col min="1" max="1" width="4.42578125" customWidth="1"/>
    <col min="2" max="2" width="13.28515625" bestFit="1" customWidth="1"/>
    <col min="3" max="3" width="32.28515625" customWidth="1"/>
  </cols>
  <sheetData>
    <row r="1" spans="2:3" ht="13.5" thickBot="1" x14ac:dyDescent="0.25"/>
    <row r="2" spans="2:3" ht="24" thickBot="1" x14ac:dyDescent="0.4">
      <c r="B2" s="116" t="s">
        <v>48</v>
      </c>
      <c r="C2" s="117"/>
    </row>
    <row r="3" spans="2:3" ht="13.5" thickBot="1" x14ac:dyDescent="0.25"/>
    <row r="4" spans="2:3" x14ac:dyDescent="0.2">
      <c r="B4" s="70" t="s">
        <v>45</v>
      </c>
      <c r="C4" s="68"/>
    </row>
    <row r="5" spans="2:3" ht="13.5" thickBot="1" x14ac:dyDescent="0.25">
      <c r="B5" s="71" t="s">
        <v>46</v>
      </c>
      <c r="C5" s="69"/>
    </row>
    <row r="6" spans="2:3" ht="13.5" thickBot="1" x14ac:dyDescent="0.25"/>
    <row r="7" spans="2:3" ht="13.5" thickBot="1" x14ac:dyDescent="0.25">
      <c r="B7" s="73" t="s">
        <v>47</v>
      </c>
      <c r="C7" s="72"/>
    </row>
  </sheetData>
  <mergeCells count="1">
    <mergeCell ref="B2:C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B1:BR72"/>
  <sheetViews>
    <sheetView workbookViewId="0">
      <selection activeCell="S15" sqref="S15"/>
    </sheetView>
  </sheetViews>
  <sheetFormatPr baseColWidth="10" defaultRowHeight="12.75" outlineLevelRow="1" outlineLevelCol="1" x14ac:dyDescent="0.2"/>
  <cols>
    <col min="1" max="1" width="4" customWidth="1"/>
    <col min="2" max="2" width="20.7109375" bestFit="1" customWidth="1"/>
    <col min="4" max="4" width="9" customWidth="1"/>
    <col min="5" max="5" width="9.5703125" customWidth="1"/>
    <col min="6" max="6" width="4.85546875" customWidth="1"/>
    <col min="7" max="7" width="3.28515625" customWidth="1"/>
    <col min="8" max="8" width="3.5703125" customWidth="1"/>
    <col min="9" max="9" width="4.42578125" customWidth="1"/>
    <col min="10" max="14" width="3.7109375" customWidth="1"/>
    <col min="15" max="15" width="5.140625" customWidth="1"/>
    <col min="16" max="17" width="4" customWidth="1"/>
    <col min="18" max="18" width="4.7109375" bestFit="1" customWidth="1"/>
    <col min="19" max="19" width="5.7109375" bestFit="1" customWidth="1"/>
    <col min="20" max="20" width="5.7109375" customWidth="1"/>
    <col min="21" max="21" width="5.7109375" bestFit="1" customWidth="1"/>
    <col min="22" max="22" width="5.7109375" customWidth="1"/>
    <col min="23" max="24" width="3" bestFit="1" customWidth="1"/>
    <col min="25" max="29" width="3" customWidth="1"/>
    <col min="30" max="31" width="3" bestFit="1" customWidth="1"/>
    <col min="32" max="32" width="3" customWidth="1"/>
    <col min="33" max="33" width="3" bestFit="1" customWidth="1"/>
    <col min="34" max="40" width="3" customWidth="1"/>
    <col min="41" max="41" width="3" bestFit="1" customWidth="1"/>
    <col min="42" max="42" width="3.5703125" bestFit="1" customWidth="1"/>
    <col min="43" max="43" width="5.7109375" customWidth="1"/>
    <col min="44" max="44" width="74.85546875" customWidth="1"/>
    <col min="45" max="45" width="5.7109375" customWidth="1"/>
    <col min="46" max="48" width="5.7109375" hidden="1" customWidth="1" outlineLevel="1"/>
    <col min="49" max="49" width="4.140625" hidden="1" customWidth="1" outlineLevel="1"/>
    <col min="50" max="50" width="3.85546875" hidden="1" customWidth="1" outlineLevel="1"/>
    <col min="51" max="54" width="3.7109375" hidden="1" customWidth="1" outlineLevel="1"/>
    <col min="55" max="55" width="5.42578125" hidden="1" customWidth="1" outlineLevel="1"/>
    <col min="56" max="56" width="5.5703125" hidden="1" customWidth="1" outlineLevel="1"/>
    <col min="57" max="57" width="8.42578125" hidden="1" customWidth="1" outlineLevel="1"/>
    <col min="58" max="59" width="3.85546875" hidden="1" customWidth="1" outlineLevel="1"/>
    <col min="60" max="61" width="4.7109375" hidden="1" customWidth="1" outlineLevel="1"/>
    <col min="62" max="62" width="3.28515625" hidden="1" customWidth="1" outlineLevel="1"/>
    <col min="63" max="63" width="3.85546875" hidden="1" customWidth="1" outlineLevel="1"/>
    <col min="64" max="64" width="4.140625" hidden="1" customWidth="1" outlineLevel="1"/>
    <col min="65" max="65" width="6" hidden="1" customWidth="1" outlineLevel="1"/>
    <col min="66" max="66" width="5.5703125" hidden="1" customWidth="1" outlineLevel="1"/>
    <col min="67" max="67" width="8.42578125" hidden="1" customWidth="1" outlineLevel="1"/>
    <col min="68" max="68" width="9.42578125" hidden="1" customWidth="1" outlineLevel="1"/>
    <col min="69" max="69" width="6.5703125" hidden="1" customWidth="1" outlineLevel="1"/>
    <col min="70" max="70" width="11.42578125" collapsed="1"/>
  </cols>
  <sheetData>
    <row r="1" spans="2:69" ht="18.75" customHeight="1" thickBot="1" x14ac:dyDescent="0.25">
      <c r="J1" s="122"/>
      <c r="K1" s="122"/>
      <c r="L1" s="122"/>
      <c r="M1" s="122"/>
      <c r="N1" s="16"/>
      <c r="S1" s="58"/>
      <c r="T1" s="58"/>
      <c r="W1" s="132" t="s">
        <v>63</v>
      </c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</row>
    <row r="2" spans="2:69" ht="60" customHeight="1" thickBot="1" x14ac:dyDescent="0.4">
      <c r="B2" s="125" t="s">
        <v>39</v>
      </c>
      <c r="C2" s="126"/>
      <c r="D2" s="126"/>
      <c r="E2" s="127"/>
      <c r="F2" s="19"/>
      <c r="G2" s="123" t="s">
        <v>11</v>
      </c>
      <c r="H2" s="124"/>
      <c r="J2" s="123" t="s">
        <v>9</v>
      </c>
      <c r="K2" s="136"/>
      <c r="L2" s="136"/>
      <c r="M2" s="124"/>
      <c r="N2" s="45"/>
      <c r="O2" s="129" t="s">
        <v>31</v>
      </c>
      <c r="Q2" s="129" t="s">
        <v>40</v>
      </c>
      <c r="R2" s="129" t="s">
        <v>32</v>
      </c>
      <c r="S2" s="58"/>
      <c r="T2" s="58"/>
      <c r="U2" s="129" t="s">
        <v>43</v>
      </c>
      <c r="V2" s="55"/>
      <c r="W2" s="147" t="s">
        <v>56</v>
      </c>
      <c r="X2" s="145" t="s">
        <v>57</v>
      </c>
      <c r="Y2" s="114"/>
      <c r="Z2" s="109"/>
      <c r="AA2" s="145" t="s">
        <v>58</v>
      </c>
      <c r="AB2" s="120" t="s">
        <v>69</v>
      </c>
      <c r="AC2" s="120" t="s">
        <v>71</v>
      </c>
      <c r="AD2" s="120" t="s">
        <v>59</v>
      </c>
      <c r="AE2" s="118" t="s">
        <v>70</v>
      </c>
      <c r="AF2" s="118" t="s">
        <v>72</v>
      </c>
      <c r="AG2" s="118" t="s">
        <v>73</v>
      </c>
      <c r="AH2" s="118" t="s">
        <v>65</v>
      </c>
      <c r="AI2" s="118" t="s">
        <v>68</v>
      </c>
      <c r="AJ2" s="118" t="s">
        <v>74</v>
      </c>
      <c r="AK2" s="112"/>
      <c r="AL2" s="118" t="s">
        <v>75</v>
      </c>
      <c r="AM2" s="118" t="s">
        <v>67</v>
      </c>
      <c r="AN2" s="118" t="s">
        <v>60</v>
      </c>
      <c r="AO2" s="118" t="s">
        <v>76</v>
      </c>
      <c r="AP2" s="149" t="s">
        <v>62</v>
      </c>
      <c r="AQ2" s="55"/>
      <c r="AR2" s="143" t="s">
        <v>66</v>
      </c>
      <c r="AT2" s="55"/>
      <c r="AU2" s="129" t="s">
        <v>33</v>
      </c>
      <c r="AV2" s="55"/>
      <c r="AX2" s="128" t="s">
        <v>9</v>
      </c>
      <c r="AY2" s="128"/>
      <c r="AZ2" s="128"/>
      <c r="BA2" s="128"/>
      <c r="BB2" s="128"/>
      <c r="BC2" s="128"/>
      <c r="BD2" s="128"/>
      <c r="BE2" s="128"/>
      <c r="BJ2" s="140" t="s">
        <v>11</v>
      </c>
      <c r="BK2" s="140"/>
      <c r="BL2" s="140"/>
      <c r="BM2" s="140"/>
      <c r="BN2" s="140"/>
      <c r="BO2" s="140"/>
      <c r="BQ2" s="61" t="s">
        <v>38</v>
      </c>
    </row>
    <row r="3" spans="2:69" ht="38.25" customHeight="1" x14ac:dyDescent="0.35">
      <c r="B3" s="19"/>
      <c r="C3" s="131"/>
      <c r="D3" s="131"/>
      <c r="E3" s="37"/>
      <c r="F3" s="40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0"/>
      <c r="Q3" s="130" t="s">
        <v>32</v>
      </c>
      <c r="R3" s="130" t="s">
        <v>32</v>
      </c>
      <c r="S3" s="59"/>
      <c r="U3" s="130" t="s">
        <v>42</v>
      </c>
      <c r="V3" s="49"/>
      <c r="W3" s="148"/>
      <c r="X3" s="146"/>
      <c r="Y3" s="115" t="s">
        <v>78</v>
      </c>
      <c r="Z3" s="110" t="s">
        <v>64</v>
      </c>
      <c r="AA3" s="146"/>
      <c r="AB3" s="121"/>
      <c r="AC3" s="121"/>
      <c r="AD3" s="121" t="s">
        <v>61</v>
      </c>
      <c r="AE3" s="119" t="s">
        <v>70</v>
      </c>
      <c r="AF3" s="119"/>
      <c r="AG3" s="119" t="s">
        <v>61</v>
      </c>
      <c r="AH3" s="119"/>
      <c r="AI3" s="119"/>
      <c r="AJ3" s="119"/>
      <c r="AK3" s="113" t="s">
        <v>77</v>
      </c>
      <c r="AL3" s="119"/>
      <c r="AM3" s="119"/>
      <c r="AN3" s="119"/>
      <c r="AO3" s="119"/>
      <c r="AP3" s="150"/>
      <c r="AQ3" s="49"/>
      <c r="AR3" s="144"/>
      <c r="AT3" s="49"/>
      <c r="AU3" s="130" t="s">
        <v>33</v>
      </c>
      <c r="AV3" s="49"/>
      <c r="AX3" s="3">
        <v>0</v>
      </c>
      <c r="AY3" s="3">
        <v>1</v>
      </c>
      <c r="AZ3" s="3">
        <v>2</v>
      </c>
      <c r="BA3" s="3">
        <v>3</v>
      </c>
      <c r="BB3" s="36"/>
      <c r="BC3" s="34" t="s">
        <v>5</v>
      </c>
      <c r="BD3" s="34" t="s">
        <v>3</v>
      </c>
      <c r="BE3" s="34" t="s">
        <v>4</v>
      </c>
      <c r="BJ3" s="3">
        <v>0</v>
      </c>
      <c r="BK3" s="3">
        <v>1</v>
      </c>
      <c r="BM3" s="34" t="s">
        <v>5</v>
      </c>
      <c r="BN3" s="34" t="s">
        <v>3</v>
      </c>
      <c r="BO3" s="34" t="s">
        <v>4</v>
      </c>
      <c r="BQ3" s="34" t="s">
        <v>41</v>
      </c>
    </row>
    <row r="4" spans="2:69" ht="12.75" customHeight="1" x14ac:dyDescent="0.2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R4" s="1"/>
      <c r="S4" s="59"/>
      <c r="T4" s="59"/>
      <c r="AT4" s="1"/>
      <c r="AU4" s="1"/>
      <c r="AV4" s="1"/>
    </row>
    <row r="5" spans="2:69" x14ac:dyDescent="0.2">
      <c r="B5" s="133" t="s">
        <v>12</v>
      </c>
      <c r="C5" s="5" t="s">
        <v>1</v>
      </c>
      <c r="D5" s="6"/>
      <c r="E5" s="7"/>
      <c r="F5" s="13"/>
      <c r="G5" s="56" t="s">
        <v>30</v>
      </c>
      <c r="H5" s="56"/>
      <c r="J5" s="22" t="s">
        <v>30</v>
      </c>
      <c r="K5" s="22"/>
      <c r="L5" s="22"/>
      <c r="M5" s="22"/>
      <c r="N5" s="46"/>
      <c r="O5" s="20">
        <v>2</v>
      </c>
      <c r="Q5" s="2">
        <v>1</v>
      </c>
      <c r="R5" s="2">
        <v>1</v>
      </c>
      <c r="S5" s="59" t="str">
        <f>IF(AND(Q5=1,R5=0),"Bonus","")</f>
        <v/>
      </c>
      <c r="T5" s="59"/>
      <c r="U5" s="65">
        <f>BQ5</f>
        <v>0</v>
      </c>
      <c r="V5" s="66"/>
      <c r="W5" s="102"/>
      <c r="X5" s="66"/>
      <c r="Y5" s="66"/>
      <c r="Z5" s="66"/>
      <c r="AA5" s="66"/>
      <c r="AB5" s="65"/>
      <c r="AC5" s="65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103"/>
      <c r="AQ5" s="66"/>
      <c r="AR5" s="78"/>
      <c r="AT5" s="16"/>
      <c r="AU5" s="2">
        <f>Q5*R5*O5</f>
        <v>2</v>
      </c>
      <c r="AV5" s="16"/>
      <c r="AX5" s="2">
        <f t="shared" ref="AX5:AX23" si="0">IF(J5="x",AX$3,"")</f>
        <v>0</v>
      </c>
      <c r="AY5" s="2" t="str">
        <f t="shared" ref="AY5:AY23" si="1">IF(K5="x",AY$3,"")</f>
        <v/>
      </c>
      <c r="AZ5" s="2" t="str">
        <f t="shared" ref="AZ5:AZ23" si="2">IF(L5="x",AZ$3,"")</f>
        <v/>
      </c>
      <c r="BA5" s="2" t="str">
        <f t="shared" ref="BA5:BA23" si="3">IF(M5="x",BA$3,"")</f>
        <v/>
      </c>
      <c r="BB5" s="16"/>
      <c r="BC5" s="2">
        <f>COUNTIF(J5:M5,"=x")</f>
        <v>1</v>
      </c>
      <c r="BD5" s="2">
        <f>IF(BC5&gt;0,AVERAGE(AX5:BA5),"")</f>
        <v>0</v>
      </c>
      <c r="BE5" s="2">
        <f t="shared" ref="BE5:BE23" si="4">IF(AND(BC5&gt;0,Q5=1),BD5*O5,"")</f>
        <v>0</v>
      </c>
      <c r="BJ5" s="2">
        <f t="shared" ref="BJ5:BJ20" si="5">IF(G5="x",BJ$3,"")</f>
        <v>0</v>
      </c>
      <c r="BK5" s="2" t="str">
        <f t="shared" ref="BK5:BK20" si="6">IF(H5="x",BK$3,"")</f>
        <v/>
      </c>
      <c r="BL5" s="1"/>
      <c r="BM5" s="2">
        <f>COUNTIF(G5:H5,"=x")</f>
        <v>1</v>
      </c>
      <c r="BN5" s="2">
        <f>IF(BM5&gt;0,AVERAGE(BJ5:BK5),"")</f>
        <v>0</v>
      </c>
      <c r="BO5" s="2">
        <f t="shared" ref="BO5:BO12" si="7">IF(AND(BM5&gt;0,Q5=1),BN5*O5,"")</f>
        <v>0</v>
      </c>
      <c r="BQ5" s="65">
        <f>MAX(BE5,BO5)</f>
        <v>0</v>
      </c>
    </row>
    <row r="6" spans="2:69" x14ac:dyDescent="0.2">
      <c r="B6" s="134"/>
      <c r="C6" s="12" t="s">
        <v>13</v>
      </c>
      <c r="D6" s="13"/>
      <c r="E6" s="14"/>
      <c r="F6" s="13"/>
      <c r="G6" s="56" t="s">
        <v>30</v>
      </c>
      <c r="H6" s="56"/>
      <c r="J6" s="22" t="s">
        <v>30</v>
      </c>
      <c r="K6" s="22"/>
      <c r="L6" s="22"/>
      <c r="M6" s="22"/>
      <c r="N6" s="46"/>
      <c r="O6" s="20">
        <v>4</v>
      </c>
      <c r="Q6" s="2">
        <v>1</v>
      </c>
      <c r="R6" s="2">
        <v>1</v>
      </c>
      <c r="S6" s="59" t="str">
        <f t="shared" ref="S6:S35" si="8">IF(AND(Q6=1,R6=0),"Bonus","")</f>
        <v/>
      </c>
      <c r="T6" s="59"/>
      <c r="U6" s="65">
        <f t="shared" ref="U6:U35" si="9">BQ6</f>
        <v>0</v>
      </c>
      <c r="V6" s="66"/>
      <c r="W6" s="66"/>
      <c r="X6" s="66"/>
      <c r="Y6" s="66"/>
      <c r="Z6" s="66"/>
      <c r="AA6" s="66"/>
      <c r="AB6" s="65"/>
      <c r="AC6" s="66"/>
      <c r="AE6" s="66"/>
      <c r="AF6" s="66"/>
      <c r="AG6" s="66"/>
      <c r="AH6" s="66"/>
      <c r="AI6" s="66"/>
      <c r="AJ6" s="66"/>
      <c r="AK6" s="66"/>
      <c r="AL6" s="66"/>
      <c r="AM6" s="66"/>
      <c r="AN6" s="65"/>
      <c r="AO6" s="102"/>
      <c r="AP6" s="103"/>
      <c r="AQ6" s="66"/>
      <c r="AR6" s="78"/>
      <c r="AT6" s="16"/>
      <c r="AU6" s="2">
        <f>Q6*R6*O6</f>
        <v>4</v>
      </c>
      <c r="AV6" s="16"/>
      <c r="AX6" s="2">
        <f t="shared" si="0"/>
        <v>0</v>
      </c>
      <c r="AY6" s="2" t="str">
        <f t="shared" si="1"/>
        <v/>
      </c>
      <c r="AZ6" s="2" t="str">
        <f t="shared" si="2"/>
        <v/>
      </c>
      <c r="BA6" s="2" t="str">
        <f t="shared" si="3"/>
        <v/>
      </c>
      <c r="BB6" s="16"/>
      <c r="BC6" s="2">
        <f>COUNTIF(J6:M6,"=x")</f>
        <v>1</v>
      </c>
      <c r="BD6" s="2">
        <f>IF(BC6&gt;0,AVERAGE(AX6:BA6),"")</f>
        <v>0</v>
      </c>
      <c r="BE6" s="2">
        <f t="shared" si="4"/>
        <v>0</v>
      </c>
      <c r="BJ6" s="2">
        <f t="shared" si="5"/>
        <v>0</v>
      </c>
      <c r="BK6" s="2" t="str">
        <f t="shared" si="6"/>
        <v/>
      </c>
      <c r="BL6" s="1"/>
      <c r="BM6" s="2">
        <f>COUNTIF(G6:H6,"=x")</f>
        <v>1</v>
      </c>
      <c r="BN6" s="2">
        <f t="shared" ref="BN6:BN34" si="10">IF(BM6&gt;0,AVERAGE(BJ6:BK6),"")</f>
        <v>0</v>
      </c>
      <c r="BO6" s="2">
        <f t="shared" si="7"/>
        <v>0</v>
      </c>
      <c r="BQ6" s="65">
        <f t="shared" ref="BQ6:BQ18" si="11">MAX(BE6,BO6)</f>
        <v>0</v>
      </c>
    </row>
    <row r="7" spans="2:69" x14ac:dyDescent="0.2">
      <c r="B7" s="135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Q7" s="2">
        <v>1</v>
      </c>
      <c r="R7" s="2">
        <v>0</v>
      </c>
      <c r="S7" s="59" t="str">
        <f t="shared" si="8"/>
        <v>Bonus</v>
      </c>
      <c r="T7" s="59"/>
      <c r="U7" s="65">
        <f t="shared" si="9"/>
        <v>0</v>
      </c>
      <c r="V7" s="66"/>
      <c r="W7" s="66"/>
      <c r="X7" s="66"/>
      <c r="Y7" s="66"/>
      <c r="Z7" s="66"/>
      <c r="AA7" s="66"/>
      <c r="AB7" s="65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5"/>
      <c r="AP7" s="103"/>
      <c r="AQ7" s="66"/>
      <c r="AR7" s="78"/>
      <c r="AT7" s="16"/>
      <c r="AU7" s="2">
        <f>Q7*R7*O7</f>
        <v>0</v>
      </c>
      <c r="AV7" s="16"/>
      <c r="AX7" s="2">
        <f t="shared" si="0"/>
        <v>0</v>
      </c>
      <c r="AY7" s="2" t="str">
        <f t="shared" si="1"/>
        <v/>
      </c>
      <c r="AZ7" s="2" t="str">
        <f t="shared" si="2"/>
        <v/>
      </c>
      <c r="BA7" s="2" t="str">
        <f t="shared" si="3"/>
        <v/>
      </c>
      <c r="BB7" s="16"/>
      <c r="BC7" s="2">
        <f>COUNTIF(J7:M7,"=x")</f>
        <v>1</v>
      </c>
      <c r="BD7" s="2">
        <f>IF(BC7&gt;0,AVERAGE(AX7:BA7),"")</f>
        <v>0</v>
      </c>
      <c r="BE7" s="2">
        <f t="shared" si="4"/>
        <v>0</v>
      </c>
      <c r="BJ7" s="2">
        <f t="shared" si="5"/>
        <v>0</v>
      </c>
      <c r="BK7" s="2" t="str">
        <f t="shared" si="6"/>
        <v/>
      </c>
      <c r="BL7" s="1"/>
      <c r="BM7" s="2">
        <f>COUNTIF(G7:H7,"=x")</f>
        <v>1</v>
      </c>
      <c r="BN7" s="2">
        <f t="shared" si="10"/>
        <v>0</v>
      </c>
      <c r="BO7" s="2">
        <f t="shared" si="7"/>
        <v>0</v>
      </c>
      <c r="BQ7" s="65">
        <f t="shared" si="11"/>
        <v>0</v>
      </c>
    </row>
    <row r="8" spans="2:69" x14ac:dyDescent="0.2">
      <c r="G8" s="1"/>
      <c r="H8" s="1"/>
      <c r="N8" s="38"/>
      <c r="Q8" s="1"/>
      <c r="R8" s="1"/>
      <c r="S8" s="59" t="str">
        <f t="shared" si="8"/>
        <v/>
      </c>
      <c r="T8" s="59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104"/>
      <c r="AQ8" s="24"/>
      <c r="AR8" s="79"/>
      <c r="AT8" s="1"/>
      <c r="AU8" s="16"/>
      <c r="AV8" s="1"/>
      <c r="AW8" s="25"/>
      <c r="AX8" s="16" t="str">
        <f t="shared" si="0"/>
        <v/>
      </c>
      <c r="AY8" s="16" t="str">
        <f t="shared" si="1"/>
        <v/>
      </c>
      <c r="AZ8" s="16" t="str">
        <f t="shared" si="2"/>
        <v/>
      </c>
      <c r="BA8" s="16" t="str">
        <f t="shared" si="3"/>
        <v/>
      </c>
      <c r="BB8" s="16"/>
      <c r="BC8" s="16"/>
      <c r="BD8" s="16" t="str">
        <f t="shared" ref="BD8:BD34" si="12">IF(BC8&gt;0,AVERAGE(AX8:BA8),"")</f>
        <v/>
      </c>
      <c r="BE8" s="16" t="str">
        <f t="shared" si="4"/>
        <v/>
      </c>
      <c r="BJ8" s="1" t="str">
        <f t="shared" si="5"/>
        <v/>
      </c>
      <c r="BK8" s="1" t="str">
        <f t="shared" si="6"/>
        <v/>
      </c>
      <c r="BL8" s="1"/>
      <c r="BM8" s="1"/>
      <c r="BN8" s="1" t="str">
        <f t="shared" si="10"/>
        <v/>
      </c>
      <c r="BO8" s="16" t="str">
        <f t="shared" si="7"/>
        <v/>
      </c>
      <c r="BQ8" s="66"/>
    </row>
    <row r="9" spans="2:69" x14ac:dyDescent="0.2">
      <c r="G9" s="1"/>
      <c r="H9" s="1"/>
      <c r="N9" s="38"/>
      <c r="Q9" s="1"/>
      <c r="R9" s="1"/>
      <c r="S9" s="59" t="str">
        <f t="shared" si="8"/>
        <v/>
      </c>
      <c r="T9" s="59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104"/>
      <c r="AQ9" s="24"/>
      <c r="AR9" s="79"/>
      <c r="AT9" s="1"/>
      <c r="AU9" s="16"/>
      <c r="AV9" s="1"/>
      <c r="AW9" s="25"/>
      <c r="AX9" s="16" t="str">
        <f t="shared" si="0"/>
        <v/>
      </c>
      <c r="AY9" s="16" t="str">
        <f t="shared" si="1"/>
        <v/>
      </c>
      <c r="AZ9" s="16" t="str">
        <f t="shared" si="2"/>
        <v/>
      </c>
      <c r="BA9" s="16" t="str">
        <f t="shared" si="3"/>
        <v/>
      </c>
      <c r="BB9" s="16"/>
      <c r="BC9" s="16"/>
      <c r="BD9" s="16" t="str">
        <f t="shared" si="12"/>
        <v/>
      </c>
      <c r="BE9" s="16" t="str">
        <f t="shared" si="4"/>
        <v/>
      </c>
      <c r="BJ9" s="1" t="str">
        <f t="shared" si="5"/>
        <v/>
      </c>
      <c r="BK9" s="1" t="str">
        <f t="shared" si="6"/>
        <v/>
      </c>
      <c r="BL9" s="1"/>
      <c r="BM9" s="1"/>
      <c r="BN9" s="1" t="str">
        <f t="shared" si="10"/>
        <v/>
      </c>
      <c r="BO9" s="16" t="str">
        <f t="shared" si="7"/>
        <v/>
      </c>
      <c r="BQ9" s="66"/>
    </row>
    <row r="10" spans="2:69" x14ac:dyDescent="0.2">
      <c r="B10" s="137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 t="s">
        <v>30</v>
      </c>
      <c r="K10" s="18"/>
      <c r="L10" s="22"/>
      <c r="M10" s="22"/>
      <c r="N10" s="46"/>
      <c r="O10" s="20">
        <v>4</v>
      </c>
      <c r="Q10" s="2">
        <v>1</v>
      </c>
      <c r="R10" s="2">
        <v>1</v>
      </c>
      <c r="S10" s="59" t="str">
        <f t="shared" si="8"/>
        <v/>
      </c>
      <c r="T10" s="59"/>
      <c r="U10" s="65">
        <f t="shared" si="9"/>
        <v>0</v>
      </c>
      <c r="V10" s="66"/>
      <c r="W10" s="65"/>
      <c r="X10" s="65"/>
      <c r="Y10" s="66"/>
      <c r="Z10" s="66"/>
      <c r="AA10" s="66"/>
      <c r="AB10" s="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105"/>
      <c r="AQ10" s="66"/>
      <c r="AR10" s="78"/>
      <c r="AT10" s="16"/>
      <c r="AU10" s="2">
        <f>Q10*R10*O10</f>
        <v>4</v>
      </c>
      <c r="AV10" s="16"/>
      <c r="AX10" s="2">
        <f t="shared" si="0"/>
        <v>0</v>
      </c>
      <c r="AY10" s="2" t="str">
        <f t="shared" si="1"/>
        <v/>
      </c>
      <c r="AZ10" s="2" t="str">
        <f t="shared" si="2"/>
        <v/>
      </c>
      <c r="BA10" s="2" t="str">
        <f t="shared" si="3"/>
        <v/>
      </c>
      <c r="BB10" s="16"/>
      <c r="BC10" s="2">
        <f>COUNTIF(J10:M10,"=x")</f>
        <v>1</v>
      </c>
      <c r="BD10" s="2">
        <f t="shared" si="12"/>
        <v>0</v>
      </c>
      <c r="BE10" s="2">
        <f t="shared" si="4"/>
        <v>0</v>
      </c>
      <c r="BJ10" s="2">
        <f t="shared" si="5"/>
        <v>0</v>
      </c>
      <c r="BK10" s="2" t="str">
        <f t="shared" si="6"/>
        <v/>
      </c>
      <c r="BL10" s="1"/>
      <c r="BM10" s="2">
        <f>COUNTIF(G10:H10,"=x")</f>
        <v>1</v>
      </c>
      <c r="BN10" s="2">
        <f t="shared" si="10"/>
        <v>0</v>
      </c>
      <c r="BO10" s="2">
        <f t="shared" si="7"/>
        <v>0</v>
      </c>
      <c r="BQ10" s="65">
        <f t="shared" si="11"/>
        <v>0</v>
      </c>
    </row>
    <row r="11" spans="2:69" x14ac:dyDescent="0.2">
      <c r="B11" s="138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Q11" s="2">
        <v>1</v>
      </c>
      <c r="R11" s="2">
        <v>0</v>
      </c>
      <c r="S11" s="59"/>
      <c r="T11" s="59"/>
      <c r="U11" s="65">
        <f t="shared" si="9"/>
        <v>0</v>
      </c>
      <c r="V11" s="66"/>
      <c r="W11" s="66"/>
      <c r="X11" s="66"/>
      <c r="Y11" s="65"/>
      <c r="Z11" s="65"/>
      <c r="AA11" s="66"/>
      <c r="AB11" s="65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5"/>
      <c r="AN11" s="66"/>
      <c r="AO11" s="66"/>
      <c r="AP11" s="105"/>
      <c r="AQ11" s="66"/>
      <c r="AR11" s="78"/>
      <c r="AT11" s="16"/>
      <c r="AU11" s="2">
        <f>Q11*R11*O11</f>
        <v>0</v>
      </c>
      <c r="AV11" s="16"/>
      <c r="AX11" s="2">
        <f t="shared" si="0"/>
        <v>0</v>
      </c>
      <c r="AY11" s="2" t="str">
        <f t="shared" si="1"/>
        <v/>
      </c>
      <c r="AZ11" s="2" t="str">
        <f t="shared" si="2"/>
        <v/>
      </c>
      <c r="BA11" s="2" t="str">
        <f t="shared" si="3"/>
        <v/>
      </c>
      <c r="BB11" s="16"/>
      <c r="BC11" s="2">
        <f>COUNTIF(J11:M11,"=x")</f>
        <v>1</v>
      </c>
      <c r="BD11" s="2">
        <f t="shared" si="12"/>
        <v>0</v>
      </c>
      <c r="BE11" s="2">
        <f t="shared" si="4"/>
        <v>0</v>
      </c>
      <c r="BJ11" s="2">
        <f t="shared" si="5"/>
        <v>0</v>
      </c>
      <c r="BK11" s="2" t="str">
        <f t="shared" si="6"/>
        <v/>
      </c>
      <c r="BL11" s="1"/>
      <c r="BM11" s="2">
        <f>COUNTIF(G11:H11,"=x")</f>
        <v>1</v>
      </c>
      <c r="BN11" s="2">
        <f t="shared" si="10"/>
        <v>0</v>
      </c>
      <c r="BO11" s="2">
        <f t="shared" si="7"/>
        <v>0</v>
      </c>
      <c r="BQ11" s="65">
        <f t="shared" si="11"/>
        <v>0</v>
      </c>
    </row>
    <row r="12" spans="2:69" x14ac:dyDescent="0.2">
      <c r="B12" s="139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Q12" s="2">
        <v>1</v>
      </c>
      <c r="R12" s="2">
        <v>0</v>
      </c>
      <c r="S12" s="59"/>
      <c r="T12" s="59"/>
      <c r="U12" s="65">
        <f t="shared" si="9"/>
        <v>0</v>
      </c>
      <c r="V12" s="66"/>
      <c r="W12" s="65"/>
      <c r="X12" s="65"/>
      <c r="Y12" s="65"/>
      <c r="Z12" s="65"/>
      <c r="AA12" s="66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105"/>
      <c r="AQ12" s="66"/>
      <c r="AR12" s="78"/>
      <c r="AT12" s="16"/>
      <c r="AU12" s="2">
        <f>Q12*R12*O12</f>
        <v>0</v>
      </c>
      <c r="AV12" s="16"/>
      <c r="AX12" s="2">
        <f t="shared" si="0"/>
        <v>0</v>
      </c>
      <c r="AY12" s="2" t="str">
        <f t="shared" si="1"/>
        <v/>
      </c>
      <c r="AZ12" s="2" t="str">
        <f t="shared" si="2"/>
        <v/>
      </c>
      <c r="BA12" s="2" t="str">
        <f t="shared" si="3"/>
        <v/>
      </c>
      <c r="BB12" s="16"/>
      <c r="BC12" s="2">
        <f>COUNTIF(J12:M12,"=x")</f>
        <v>1</v>
      </c>
      <c r="BD12" s="2">
        <f t="shared" si="12"/>
        <v>0</v>
      </c>
      <c r="BE12" s="2">
        <f t="shared" si="4"/>
        <v>0</v>
      </c>
      <c r="BJ12" s="2">
        <f t="shared" si="5"/>
        <v>0</v>
      </c>
      <c r="BK12" s="2" t="str">
        <f t="shared" si="6"/>
        <v/>
      </c>
      <c r="BL12" s="1"/>
      <c r="BM12" s="2">
        <f>COUNTIF(G12:H12,"=x")</f>
        <v>1</v>
      </c>
      <c r="BN12" s="2">
        <f t="shared" si="10"/>
        <v>0</v>
      </c>
      <c r="BO12" s="2">
        <f t="shared" si="7"/>
        <v>0</v>
      </c>
      <c r="BQ12" s="65">
        <f t="shared" si="11"/>
        <v>0</v>
      </c>
    </row>
    <row r="13" spans="2:69" x14ac:dyDescent="0.2">
      <c r="G13" s="1"/>
      <c r="H13" s="1"/>
      <c r="N13" s="38"/>
      <c r="Q13" s="1"/>
      <c r="R13" s="1"/>
      <c r="S13" s="59" t="str">
        <f t="shared" si="8"/>
        <v/>
      </c>
      <c r="T13" s="59"/>
      <c r="U13" s="24"/>
      <c r="V13" s="24"/>
      <c r="W13" s="24"/>
      <c r="X13" s="24"/>
      <c r="Y13" s="24"/>
      <c r="Z13" s="24"/>
      <c r="AA13" s="108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104"/>
      <c r="AQ13" s="24"/>
      <c r="AR13" s="79"/>
      <c r="AT13" s="1"/>
      <c r="AU13" s="16"/>
      <c r="AV13" s="1"/>
      <c r="AW13" s="25"/>
      <c r="AX13" s="16" t="str">
        <f t="shared" si="0"/>
        <v/>
      </c>
      <c r="AY13" s="16" t="str">
        <f t="shared" si="1"/>
        <v/>
      </c>
      <c r="AZ13" s="16" t="str">
        <f t="shared" si="2"/>
        <v/>
      </c>
      <c r="BA13" s="16" t="str">
        <f t="shared" si="3"/>
        <v/>
      </c>
      <c r="BB13" s="16"/>
      <c r="BC13" s="16"/>
      <c r="BD13" s="16" t="str">
        <f t="shared" si="12"/>
        <v/>
      </c>
      <c r="BE13" s="16" t="str">
        <f t="shared" si="4"/>
        <v/>
      </c>
      <c r="BJ13" s="1" t="str">
        <f t="shared" si="5"/>
        <v/>
      </c>
      <c r="BK13" s="1" t="str">
        <f t="shared" si="6"/>
        <v/>
      </c>
      <c r="BL13" s="1"/>
      <c r="BM13" s="1"/>
      <c r="BN13" s="1" t="str">
        <f t="shared" si="10"/>
        <v/>
      </c>
      <c r="BO13" s="16"/>
      <c r="BQ13" s="66"/>
    </row>
    <row r="14" spans="2:69" x14ac:dyDescent="0.2">
      <c r="G14" s="1"/>
      <c r="H14" s="1"/>
      <c r="N14" s="38"/>
      <c r="Q14" s="1"/>
      <c r="R14" s="1"/>
      <c r="S14" s="59" t="str">
        <f t="shared" si="8"/>
        <v/>
      </c>
      <c r="T14" s="59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104"/>
      <c r="AQ14" s="24"/>
      <c r="AR14" s="79"/>
      <c r="AT14" s="1"/>
      <c r="AU14" s="16"/>
      <c r="AV14" s="1"/>
      <c r="AW14" s="25"/>
      <c r="AX14" s="16" t="str">
        <f t="shared" si="0"/>
        <v/>
      </c>
      <c r="AY14" s="16" t="str">
        <f t="shared" si="1"/>
        <v/>
      </c>
      <c r="AZ14" s="16" t="str">
        <f t="shared" si="2"/>
        <v/>
      </c>
      <c r="BA14" s="16" t="str">
        <f t="shared" si="3"/>
        <v/>
      </c>
      <c r="BB14" s="16"/>
      <c r="BC14" s="16"/>
      <c r="BD14" s="16" t="str">
        <f t="shared" si="12"/>
        <v/>
      </c>
      <c r="BE14" s="16" t="str">
        <f t="shared" si="4"/>
        <v/>
      </c>
      <c r="BJ14" s="1" t="str">
        <f t="shared" si="5"/>
        <v/>
      </c>
      <c r="BK14" s="1" t="str">
        <f t="shared" si="6"/>
        <v/>
      </c>
      <c r="BL14" s="1"/>
      <c r="BM14" s="1"/>
      <c r="BN14" s="1" t="str">
        <f t="shared" si="10"/>
        <v/>
      </c>
      <c r="BO14" s="16"/>
      <c r="BQ14" s="66"/>
    </row>
    <row r="15" spans="2:69" x14ac:dyDescent="0.2">
      <c r="B15" s="133" t="s">
        <v>17</v>
      </c>
      <c r="C15" s="5" t="s">
        <v>20</v>
      </c>
      <c r="D15" s="6"/>
      <c r="E15" s="7"/>
      <c r="F15" s="13"/>
      <c r="G15" s="56" t="s">
        <v>30</v>
      </c>
      <c r="H15" s="56"/>
      <c r="J15" s="22" t="s">
        <v>30</v>
      </c>
      <c r="K15" s="18"/>
      <c r="L15" s="22"/>
      <c r="M15" s="22"/>
      <c r="N15" s="46"/>
      <c r="O15" s="20">
        <v>4</v>
      </c>
      <c r="Q15" s="2">
        <v>1</v>
      </c>
      <c r="R15" s="2">
        <v>1</v>
      </c>
      <c r="S15" s="59" t="str">
        <f t="shared" si="8"/>
        <v/>
      </c>
      <c r="T15" s="59"/>
      <c r="U15" s="65">
        <f t="shared" si="9"/>
        <v>0</v>
      </c>
      <c r="V15" s="66"/>
      <c r="W15" s="66"/>
      <c r="X15" s="66"/>
      <c r="Y15" s="66"/>
      <c r="Z15" s="66"/>
      <c r="AA15" s="66"/>
      <c r="AB15" s="66"/>
      <c r="AC15" s="66"/>
      <c r="AD15" s="65"/>
      <c r="AE15" s="66"/>
      <c r="AF15" s="66"/>
      <c r="AG15" s="65"/>
      <c r="AH15" s="66"/>
      <c r="AI15" s="66"/>
      <c r="AJ15" s="66"/>
      <c r="AK15" s="66"/>
      <c r="AL15" s="66"/>
      <c r="AM15" s="66"/>
      <c r="AN15" s="66"/>
      <c r="AO15" s="66"/>
      <c r="AP15" s="105"/>
      <c r="AQ15" s="66"/>
      <c r="AR15" s="78"/>
      <c r="AT15" s="16"/>
      <c r="AU15" s="2">
        <f>Q15*R15*O15</f>
        <v>4</v>
      </c>
      <c r="AV15" s="16"/>
      <c r="AX15" s="2">
        <f t="shared" si="0"/>
        <v>0</v>
      </c>
      <c r="AY15" s="2" t="str">
        <f t="shared" si="1"/>
        <v/>
      </c>
      <c r="AZ15" s="2" t="str">
        <f t="shared" si="2"/>
        <v/>
      </c>
      <c r="BA15" s="2" t="str">
        <f t="shared" si="3"/>
        <v/>
      </c>
      <c r="BB15" s="16"/>
      <c r="BC15" s="2">
        <f>COUNTIF(J15:M15,"=x")</f>
        <v>1</v>
      </c>
      <c r="BD15" s="2">
        <f t="shared" si="12"/>
        <v>0</v>
      </c>
      <c r="BE15" s="2">
        <f t="shared" si="4"/>
        <v>0</v>
      </c>
      <c r="BJ15" s="2">
        <f t="shared" si="5"/>
        <v>0</v>
      </c>
      <c r="BK15" s="2" t="str">
        <f t="shared" si="6"/>
        <v/>
      </c>
      <c r="BL15" s="1"/>
      <c r="BM15" s="2">
        <f>COUNTIF(G15:H15,"=x")</f>
        <v>1</v>
      </c>
      <c r="BN15" s="2">
        <f t="shared" si="10"/>
        <v>0</v>
      </c>
      <c r="BO15" s="2">
        <f>IF(AND(BM15&gt;0,Q15=1),BN15*O15,"")</f>
        <v>0</v>
      </c>
      <c r="BQ15" s="65">
        <f t="shared" si="11"/>
        <v>0</v>
      </c>
    </row>
    <row r="16" spans="2:69" x14ac:dyDescent="0.2">
      <c r="B16" s="134"/>
      <c r="C16" s="12" t="s">
        <v>8</v>
      </c>
      <c r="D16" s="13"/>
      <c r="E16" s="14"/>
      <c r="F16" s="13"/>
      <c r="G16" s="56" t="s">
        <v>30</v>
      </c>
      <c r="H16" s="56"/>
      <c r="J16" s="22" t="s">
        <v>30</v>
      </c>
      <c r="K16" s="22"/>
      <c r="L16" s="18"/>
      <c r="M16" s="22"/>
      <c r="N16" s="46"/>
      <c r="O16" s="20">
        <v>4</v>
      </c>
      <c r="Q16" s="2">
        <v>1</v>
      </c>
      <c r="R16" s="2">
        <v>1</v>
      </c>
      <c r="S16" s="59" t="str">
        <f t="shared" si="8"/>
        <v/>
      </c>
      <c r="T16" s="59"/>
      <c r="U16" s="65">
        <f t="shared" si="9"/>
        <v>0</v>
      </c>
      <c r="V16" s="66"/>
      <c r="W16" s="66"/>
      <c r="X16" s="66"/>
      <c r="Y16" s="66"/>
      <c r="Z16" s="66"/>
      <c r="AA16" s="66"/>
      <c r="AB16" s="66"/>
      <c r="AC16" s="66"/>
      <c r="AD16" s="65"/>
      <c r="AE16" s="66"/>
      <c r="AF16" s="66"/>
      <c r="AG16" s="65"/>
      <c r="AH16" s="66"/>
      <c r="AI16" s="66"/>
      <c r="AJ16" s="66"/>
      <c r="AK16" s="66"/>
      <c r="AL16" s="66"/>
      <c r="AM16" s="66"/>
      <c r="AN16" s="66"/>
      <c r="AO16" s="66"/>
      <c r="AP16" s="105"/>
      <c r="AQ16" s="66"/>
      <c r="AR16" s="78"/>
      <c r="AT16" s="16"/>
      <c r="AU16" s="2">
        <f>Q16*R16*O16</f>
        <v>4</v>
      </c>
      <c r="AV16" s="16"/>
      <c r="AX16" s="2">
        <f t="shared" si="0"/>
        <v>0</v>
      </c>
      <c r="AY16" s="2" t="str">
        <f t="shared" si="1"/>
        <v/>
      </c>
      <c r="AZ16" s="2" t="str">
        <f t="shared" si="2"/>
        <v/>
      </c>
      <c r="BA16" s="2" t="str">
        <f t="shared" si="3"/>
        <v/>
      </c>
      <c r="BB16" s="16"/>
      <c r="BC16" s="2">
        <f>COUNTIF(J16:M16,"=x")</f>
        <v>1</v>
      </c>
      <c r="BD16" s="2">
        <f t="shared" si="12"/>
        <v>0</v>
      </c>
      <c r="BE16" s="2">
        <f t="shared" si="4"/>
        <v>0</v>
      </c>
      <c r="BJ16" s="2">
        <f t="shared" si="5"/>
        <v>0</v>
      </c>
      <c r="BK16" s="2" t="str">
        <f t="shared" si="6"/>
        <v/>
      </c>
      <c r="BL16" s="1"/>
      <c r="BM16" s="2">
        <f>COUNTIF(G16:H16,"=x")</f>
        <v>1</v>
      </c>
      <c r="BN16" s="2">
        <f t="shared" si="10"/>
        <v>0</v>
      </c>
      <c r="BO16" s="2">
        <f>IF(AND(BM16&gt;0,Q16=1),BN16*O16,"")</f>
        <v>0</v>
      </c>
      <c r="BQ16" s="65">
        <f t="shared" si="11"/>
        <v>0</v>
      </c>
    </row>
    <row r="17" spans="2:69" x14ac:dyDescent="0.2">
      <c r="B17" s="134"/>
      <c r="C17" s="12" t="s">
        <v>18</v>
      </c>
      <c r="D17" s="13"/>
      <c r="E17" s="14"/>
      <c r="F17" s="13"/>
      <c r="G17" s="56" t="s">
        <v>30</v>
      </c>
      <c r="H17" s="56"/>
      <c r="J17" s="22" t="s">
        <v>30</v>
      </c>
      <c r="K17" s="18"/>
      <c r="L17" s="22"/>
      <c r="M17" s="22"/>
      <c r="N17" s="46"/>
      <c r="O17" s="20">
        <v>4</v>
      </c>
      <c r="Q17" s="2">
        <v>1</v>
      </c>
      <c r="R17" s="2">
        <v>0</v>
      </c>
      <c r="S17" s="59" t="str">
        <f t="shared" si="8"/>
        <v>Bonus</v>
      </c>
      <c r="T17" s="59"/>
      <c r="U17" s="65">
        <f t="shared" si="9"/>
        <v>0</v>
      </c>
      <c r="V17" s="66"/>
      <c r="W17" s="66"/>
      <c r="X17" s="66"/>
      <c r="Y17" s="66"/>
      <c r="Z17" s="66"/>
      <c r="AA17" s="66"/>
      <c r="AB17" s="66"/>
      <c r="AC17" s="66"/>
      <c r="AD17" s="65"/>
      <c r="AE17" s="66"/>
      <c r="AF17" s="66"/>
      <c r="AG17" s="65"/>
      <c r="AH17" s="66"/>
      <c r="AI17" s="66"/>
      <c r="AJ17" s="66"/>
      <c r="AK17" s="66"/>
      <c r="AL17" s="66"/>
      <c r="AM17" s="66"/>
      <c r="AN17" s="66"/>
      <c r="AO17" s="66"/>
      <c r="AP17" s="105"/>
      <c r="AQ17" s="66"/>
      <c r="AR17" s="78"/>
      <c r="AT17" s="16"/>
      <c r="AU17" s="2">
        <f>Q17*R17*O17</f>
        <v>0</v>
      </c>
      <c r="AV17" s="16"/>
      <c r="AX17" s="2">
        <f t="shared" si="0"/>
        <v>0</v>
      </c>
      <c r="AY17" s="2" t="str">
        <f t="shared" si="1"/>
        <v/>
      </c>
      <c r="AZ17" s="2" t="str">
        <f t="shared" si="2"/>
        <v/>
      </c>
      <c r="BA17" s="2" t="str">
        <f t="shared" si="3"/>
        <v/>
      </c>
      <c r="BB17" s="16"/>
      <c r="BC17" s="2">
        <f>COUNTIF(J17:M17,"=x")</f>
        <v>1</v>
      </c>
      <c r="BD17" s="2">
        <f t="shared" si="12"/>
        <v>0</v>
      </c>
      <c r="BE17" s="2">
        <f t="shared" si="4"/>
        <v>0</v>
      </c>
      <c r="BJ17" s="2">
        <f t="shared" si="5"/>
        <v>0</v>
      </c>
      <c r="BK17" s="2" t="str">
        <f t="shared" si="6"/>
        <v/>
      </c>
      <c r="BL17" s="1"/>
      <c r="BM17" s="2">
        <f>COUNTIF(G17:H17,"=x")</f>
        <v>1</v>
      </c>
      <c r="BN17" s="2">
        <f t="shared" si="10"/>
        <v>0</v>
      </c>
      <c r="BO17" s="2">
        <f>IF(AND(BM17&gt;0,Q17=1),BN17*O17,"")</f>
        <v>0</v>
      </c>
      <c r="BQ17" s="65">
        <f t="shared" si="11"/>
        <v>0</v>
      </c>
    </row>
    <row r="18" spans="2:69" x14ac:dyDescent="0.2">
      <c r="B18" s="135"/>
      <c r="C18" s="8" t="s">
        <v>19</v>
      </c>
      <c r="D18" s="39"/>
      <c r="E18" s="10"/>
      <c r="F18" s="13"/>
      <c r="G18" s="56" t="s">
        <v>30</v>
      </c>
      <c r="H18" s="56"/>
      <c r="J18" s="22" t="s">
        <v>30</v>
      </c>
      <c r="K18" s="18"/>
      <c r="L18" s="22"/>
      <c r="M18" s="22"/>
      <c r="N18" s="46"/>
      <c r="O18" s="20">
        <v>4</v>
      </c>
      <c r="Q18" s="2">
        <v>1</v>
      </c>
      <c r="R18" s="2">
        <v>0</v>
      </c>
      <c r="S18" s="59" t="str">
        <f t="shared" si="8"/>
        <v>Bonus</v>
      </c>
      <c r="T18" s="59"/>
      <c r="U18" s="65">
        <f t="shared" si="9"/>
        <v>0</v>
      </c>
      <c r="V18" s="66"/>
      <c r="W18" s="66"/>
      <c r="X18" s="66"/>
      <c r="Y18" s="66"/>
      <c r="Z18" s="66"/>
      <c r="AA18" s="65"/>
      <c r="AB18" s="66"/>
      <c r="AC18" s="66"/>
      <c r="AD18" s="65"/>
      <c r="AE18" s="65"/>
      <c r="AF18" s="66"/>
      <c r="AG18" s="65"/>
      <c r="AH18" s="66"/>
      <c r="AI18" s="66"/>
      <c r="AJ18" s="66"/>
      <c r="AK18" s="66"/>
      <c r="AL18" s="66"/>
      <c r="AM18" s="66"/>
      <c r="AN18" s="66"/>
      <c r="AO18" s="66"/>
      <c r="AP18" s="105"/>
      <c r="AQ18" s="66"/>
      <c r="AR18" s="78"/>
      <c r="AT18" s="16"/>
      <c r="AU18" s="2">
        <f>Q18*R18*O18</f>
        <v>0</v>
      </c>
      <c r="AV18" s="16"/>
      <c r="AX18" s="2">
        <f t="shared" si="0"/>
        <v>0</v>
      </c>
      <c r="AY18" s="2" t="str">
        <f t="shared" si="1"/>
        <v/>
      </c>
      <c r="AZ18" s="2" t="str">
        <f t="shared" si="2"/>
        <v/>
      </c>
      <c r="BA18" s="2" t="str">
        <f t="shared" si="3"/>
        <v/>
      </c>
      <c r="BB18" s="16"/>
      <c r="BC18" s="2">
        <f>COUNTIF(J18:M18,"=x")</f>
        <v>1</v>
      </c>
      <c r="BD18" s="2">
        <f t="shared" si="12"/>
        <v>0</v>
      </c>
      <c r="BE18" s="2">
        <f t="shared" si="4"/>
        <v>0</v>
      </c>
      <c r="BJ18" s="2">
        <f t="shared" si="5"/>
        <v>0</v>
      </c>
      <c r="BK18" s="2" t="str">
        <f t="shared" si="6"/>
        <v/>
      </c>
      <c r="BL18" s="1"/>
      <c r="BM18" s="2">
        <f>COUNTIF(G18:H18,"=x")</f>
        <v>1</v>
      </c>
      <c r="BN18" s="2">
        <f t="shared" si="10"/>
        <v>0</v>
      </c>
      <c r="BO18" s="2">
        <f>IF(AND(BM18&gt;0,Q18=1),BN18*O18,"")</f>
        <v>0</v>
      </c>
      <c r="BQ18" s="65">
        <f t="shared" si="11"/>
        <v>0</v>
      </c>
    </row>
    <row r="19" spans="2:69" x14ac:dyDescent="0.2">
      <c r="G19" s="1"/>
      <c r="H19" s="1"/>
      <c r="N19" s="38"/>
      <c r="Q19" s="1"/>
      <c r="R19" s="1"/>
      <c r="S19" s="59" t="str">
        <f t="shared" si="8"/>
        <v/>
      </c>
      <c r="T19" s="59"/>
      <c r="U19" s="24" t="str">
        <f t="shared" si="9"/>
        <v/>
      </c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104"/>
      <c r="AQ19" s="24"/>
      <c r="AR19" s="79"/>
      <c r="AT19" s="1"/>
      <c r="AU19" s="16"/>
      <c r="AV19" s="1"/>
      <c r="AW19" s="25"/>
      <c r="AX19" s="16" t="str">
        <f t="shared" si="0"/>
        <v/>
      </c>
      <c r="AY19" s="16" t="str">
        <f t="shared" si="1"/>
        <v/>
      </c>
      <c r="AZ19" s="16" t="str">
        <f t="shared" si="2"/>
        <v/>
      </c>
      <c r="BA19" s="16" t="str">
        <f t="shared" si="3"/>
        <v/>
      </c>
      <c r="BB19" s="16"/>
      <c r="BC19" s="16"/>
      <c r="BD19" s="16" t="str">
        <f t="shared" si="12"/>
        <v/>
      </c>
      <c r="BE19" s="16" t="str">
        <f t="shared" si="4"/>
        <v/>
      </c>
      <c r="BJ19" s="1" t="str">
        <f t="shared" si="5"/>
        <v/>
      </c>
      <c r="BK19" s="1" t="str">
        <f t="shared" si="6"/>
        <v/>
      </c>
      <c r="BL19" s="1"/>
      <c r="BM19" s="1"/>
      <c r="BN19" s="1" t="str">
        <f t="shared" si="10"/>
        <v/>
      </c>
      <c r="BO19" s="1" t="str">
        <f>IF(BM19&gt;0,BN19*O19,"")</f>
        <v/>
      </c>
      <c r="BQ19" s="66" t="str">
        <f t="shared" ref="BQ19:BQ33" si="13">IF(BD19&gt;0,BE19,BN19)</f>
        <v/>
      </c>
    </row>
    <row r="20" spans="2:69" x14ac:dyDescent="0.2">
      <c r="G20" s="1"/>
      <c r="H20" s="1"/>
      <c r="N20" s="38"/>
      <c r="Q20" s="1"/>
      <c r="R20" s="1"/>
      <c r="S20" s="59" t="str">
        <f t="shared" si="8"/>
        <v/>
      </c>
      <c r="T20" s="59"/>
      <c r="U20" s="24" t="str">
        <f t="shared" si="9"/>
        <v/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104"/>
      <c r="AQ20" s="24"/>
      <c r="AR20" s="79"/>
      <c r="AT20" s="1"/>
      <c r="AU20" s="16"/>
      <c r="AV20" s="1"/>
      <c r="AW20" s="25"/>
      <c r="AX20" s="16" t="str">
        <f t="shared" si="0"/>
        <v/>
      </c>
      <c r="AY20" s="16" t="str">
        <f t="shared" si="1"/>
        <v/>
      </c>
      <c r="AZ20" s="16" t="str">
        <f t="shared" si="2"/>
        <v/>
      </c>
      <c r="BA20" s="16" t="str">
        <f t="shared" si="3"/>
        <v/>
      </c>
      <c r="BB20" s="16"/>
      <c r="BC20" s="16"/>
      <c r="BD20" s="16" t="str">
        <f t="shared" si="12"/>
        <v/>
      </c>
      <c r="BE20" s="16" t="str">
        <f t="shared" si="4"/>
        <v/>
      </c>
      <c r="BJ20" s="1" t="str">
        <f t="shared" si="5"/>
        <v/>
      </c>
      <c r="BK20" s="1" t="str">
        <f t="shared" si="6"/>
        <v/>
      </c>
      <c r="BL20" s="1"/>
      <c r="BM20" s="1"/>
      <c r="BN20" s="1" t="str">
        <f t="shared" si="10"/>
        <v/>
      </c>
      <c r="BO20" s="1" t="str">
        <f>IF(BM20&gt;0,BN20*O20,"")</f>
        <v/>
      </c>
      <c r="BQ20" s="66" t="str">
        <f t="shared" si="13"/>
        <v/>
      </c>
    </row>
    <row r="21" spans="2:69" x14ac:dyDescent="0.2">
      <c r="B21" s="133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Q21" s="2">
        <v>1</v>
      </c>
      <c r="R21" s="2">
        <v>1</v>
      </c>
      <c r="S21" s="59" t="str">
        <f t="shared" si="8"/>
        <v/>
      </c>
      <c r="T21" s="59"/>
      <c r="U21" s="65">
        <f t="shared" si="9"/>
        <v>0</v>
      </c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5"/>
      <c r="AK21" s="65"/>
      <c r="AL21" s="65"/>
      <c r="AM21" s="66"/>
      <c r="AN21" s="66"/>
      <c r="AO21" s="66"/>
      <c r="AP21" s="103"/>
      <c r="AQ21" s="66"/>
      <c r="AR21" s="78"/>
      <c r="AT21" s="16"/>
      <c r="AU21" s="2">
        <f>Q21*R21*O21</f>
        <v>3</v>
      </c>
      <c r="AV21" s="16"/>
      <c r="AX21" s="2">
        <f t="shared" si="0"/>
        <v>0</v>
      </c>
      <c r="AY21" s="2" t="str">
        <f t="shared" si="1"/>
        <v/>
      </c>
      <c r="AZ21" s="2" t="str">
        <f t="shared" si="2"/>
        <v/>
      </c>
      <c r="BA21" s="2" t="str">
        <f t="shared" si="3"/>
        <v/>
      </c>
      <c r="BB21" s="16"/>
      <c r="BC21" s="2">
        <f>COUNTIF(J21:M21,"=x")</f>
        <v>1</v>
      </c>
      <c r="BD21" s="2">
        <f t="shared" si="12"/>
        <v>0</v>
      </c>
      <c r="BE21" s="2">
        <f t="shared" si="4"/>
        <v>0</v>
      </c>
      <c r="BJ21" s="16"/>
      <c r="BK21" s="16"/>
      <c r="BL21" s="16"/>
      <c r="BM21" s="16"/>
      <c r="BN21" s="16"/>
      <c r="BO21" s="16"/>
      <c r="BP21" s="25"/>
      <c r="BQ21" s="65">
        <f>BE21</f>
        <v>0</v>
      </c>
    </row>
    <row r="22" spans="2:69" x14ac:dyDescent="0.2">
      <c r="B22" s="134"/>
      <c r="C22" s="12" t="s">
        <v>22</v>
      </c>
      <c r="D22" s="13"/>
      <c r="E22" s="14"/>
      <c r="F22" s="13"/>
      <c r="G22" s="43"/>
      <c r="H22" s="43"/>
      <c r="J22" s="22" t="s">
        <v>30</v>
      </c>
      <c r="K22" s="18"/>
      <c r="L22" s="22"/>
      <c r="M22" s="22"/>
      <c r="N22" s="46"/>
      <c r="O22" s="20">
        <v>4</v>
      </c>
      <c r="Q22" s="2">
        <v>1</v>
      </c>
      <c r="R22" s="2">
        <v>1</v>
      </c>
      <c r="S22" s="59" t="str">
        <f t="shared" si="8"/>
        <v/>
      </c>
      <c r="T22" s="59"/>
      <c r="U22" s="65">
        <f t="shared" si="9"/>
        <v>0</v>
      </c>
      <c r="V22" s="66"/>
      <c r="W22" s="66"/>
      <c r="X22" s="66"/>
      <c r="Y22" s="66"/>
      <c r="Z22" s="66"/>
      <c r="AA22" s="66"/>
      <c r="AB22" s="66"/>
      <c r="AC22" s="65"/>
      <c r="AD22" s="65"/>
      <c r="AE22" s="66"/>
      <c r="AF22" s="66"/>
      <c r="AH22" s="66"/>
      <c r="AI22" s="66"/>
      <c r="AJ22" s="66"/>
      <c r="AK22" s="66"/>
      <c r="AL22" s="66"/>
      <c r="AM22" s="66"/>
      <c r="AN22" s="66"/>
      <c r="AO22" s="66"/>
      <c r="AP22" s="103"/>
      <c r="AQ22" s="66"/>
      <c r="AR22" s="78"/>
      <c r="AT22" s="16"/>
      <c r="AU22" s="2">
        <f>Q22*R22*O22</f>
        <v>4</v>
      </c>
      <c r="AV22" s="16"/>
      <c r="AX22" s="2">
        <f t="shared" si="0"/>
        <v>0</v>
      </c>
      <c r="AY22" s="2" t="str">
        <f t="shared" si="1"/>
        <v/>
      </c>
      <c r="AZ22" s="2" t="str">
        <f t="shared" si="2"/>
        <v/>
      </c>
      <c r="BA22" s="2" t="str">
        <f t="shared" si="3"/>
        <v/>
      </c>
      <c r="BB22" s="16"/>
      <c r="BC22" s="2">
        <f>COUNTIF(J22:M22,"=x")</f>
        <v>1</v>
      </c>
      <c r="BD22" s="2">
        <f t="shared" si="12"/>
        <v>0</v>
      </c>
      <c r="BE22" s="2">
        <f t="shared" si="4"/>
        <v>0</v>
      </c>
      <c r="BJ22" s="16"/>
      <c r="BK22" s="16"/>
      <c r="BL22" s="16"/>
      <c r="BM22" s="16"/>
      <c r="BN22" s="16"/>
      <c r="BO22" s="16"/>
      <c r="BP22" s="25"/>
      <c r="BQ22" s="65">
        <f t="shared" ref="BQ22:BQ31" si="14">BE22</f>
        <v>0</v>
      </c>
    </row>
    <row r="23" spans="2:69" x14ac:dyDescent="0.2">
      <c r="B23" s="135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Q23" s="2">
        <v>1</v>
      </c>
      <c r="R23" s="2">
        <v>0</v>
      </c>
      <c r="S23" s="59" t="str">
        <f t="shared" si="8"/>
        <v>Bonus</v>
      </c>
      <c r="T23" s="59"/>
      <c r="U23" s="65">
        <f t="shared" si="9"/>
        <v>0</v>
      </c>
      <c r="V23" s="66"/>
      <c r="W23" s="66"/>
      <c r="X23" s="66"/>
      <c r="Y23" s="66"/>
      <c r="Z23" s="66"/>
      <c r="AA23" s="66"/>
      <c r="AB23" s="65"/>
      <c r="AC23" s="65"/>
      <c r="AD23" s="65"/>
      <c r="AE23" s="66"/>
      <c r="AF23" s="65"/>
      <c r="AG23" s="66"/>
      <c r="AH23" s="66"/>
      <c r="AI23" s="66"/>
      <c r="AJ23" s="66"/>
      <c r="AK23" s="66"/>
      <c r="AL23" s="66"/>
      <c r="AM23" s="66"/>
      <c r="AN23" s="66"/>
      <c r="AO23" s="66"/>
      <c r="AP23" s="103"/>
      <c r="AQ23" s="66"/>
      <c r="AR23" s="78"/>
      <c r="AT23" s="16"/>
      <c r="AU23" s="2">
        <f>Q23*R23*O23</f>
        <v>0</v>
      </c>
      <c r="AV23" s="16"/>
      <c r="AX23" s="2">
        <f t="shared" si="0"/>
        <v>0</v>
      </c>
      <c r="AY23" s="2" t="str">
        <f t="shared" si="1"/>
        <v/>
      </c>
      <c r="AZ23" s="2" t="str">
        <f t="shared" si="2"/>
        <v/>
      </c>
      <c r="BA23" s="2" t="str">
        <f t="shared" si="3"/>
        <v/>
      </c>
      <c r="BB23" s="16"/>
      <c r="BC23" s="2">
        <f>COUNTIF(J23:M23,"=x")</f>
        <v>1</v>
      </c>
      <c r="BD23" s="2">
        <f t="shared" si="12"/>
        <v>0</v>
      </c>
      <c r="BE23" s="2">
        <f t="shared" si="4"/>
        <v>0</v>
      </c>
      <c r="BJ23" s="16"/>
      <c r="BK23" s="16"/>
      <c r="BL23" s="16"/>
      <c r="BM23" s="16"/>
      <c r="BN23" s="16"/>
      <c r="BO23" s="16"/>
      <c r="BP23" s="25"/>
      <c r="BQ23" s="65">
        <f t="shared" si="14"/>
        <v>0</v>
      </c>
    </row>
    <row r="24" spans="2:69" x14ac:dyDescent="0.2">
      <c r="B24" s="86"/>
      <c r="C24" s="92"/>
      <c r="D24" s="92"/>
      <c r="E24" s="92"/>
      <c r="F24" s="13"/>
      <c r="G24" s="84"/>
      <c r="H24" s="84"/>
      <c r="J24" s="96"/>
      <c r="K24" s="96"/>
      <c r="L24" s="96"/>
      <c r="M24" s="96"/>
      <c r="N24" s="46"/>
      <c r="O24" s="97"/>
      <c r="P24" s="25"/>
      <c r="Q24" s="89"/>
      <c r="R24" s="89"/>
      <c r="S24" s="64"/>
      <c r="T24" s="64"/>
      <c r="U24" s="98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103"/>
      <c r="AQ24" s="66"/>
      <c r="AR24" s="80"/>
      <c r="AS24" s="25"/>
      <c r="AT24" s="16"/>
      <c r="AU24" s="89"/>
      <c r="AV24" s="16"/>
      <c r="AW24" s="25"/>
      <c r="AX24" s="89"/>
      <c r="AY24" s="89"/>
      <c r="AZ24" s="89"/>
      <c r="BA24" s="89"/>
      <c r="BB24" s="16"/>
      <c r="BC24" s="89"/>
      <c r="BD24" s="89"/>
      <c r="BE24" s="89"/>
      <c r="BF24" s="25"/>
      <c r="BG24" s="25"/>
      <c r="BH24" s="25"/>
      <c r="BI24" s="25"/>
      <c r="BJ24" s="16"/>
      <c r="BK24" s="16"/>
      <c r="BL24" s="16"/>
      <c r="BM24" s="16"/>
      <c r="BN24" s="16"/>
      <c r="BO24" s="16"/>
      <c r="BP24" s="25"/>
      <c r="BQ24" s="98"/>
    </row>
    <row r="25" spans="2:69" x14ac:dyDescent="0.2">
      <c r="B25" s="86"/>
      <c r="C25" s="92"/>
      <c r="D25" s="92"/>
      <c r="E25" s="92"/>
      <c r="F25" s="13"/>
      <c r="G25" s="84"/>
      <c r="H25" s="84"/>
      <c r="J25" s="93"/>
      <c r="K25" s="93"/>
      <c r="L25" s="93"/>
      <c r="M25" s="93"/>
      <c r="N25" s="46"/>
      <c r="O25" s="94"/>
      <c r="P25" s="25"/>
      <c r="Q25" s="83"/>
      <c r="R25" s="83"/>
      <c r="S25" s="64"/>
      <c r="T25" s="64"/>
      <c r="U25" s="95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103"/>
      <c r="AQ25" s="66"/>
      <c r="AR25" s="80"/>
      <c r="AS25" s="25"/>
      <c r="AT25" s="16"/>
      <c r="AU25" s="83"/>
      <c r="AV25" s="16"/>
      <c r="AW25" s="25"/>
      <c r="AX25" s="83"/>
      <c r="AY25" s="83"/>
      <c r="AZ25" s="83"/>
      <c r="BA25" s="83"/>
      <c r="BB25" s="16"/>
      <c r="BC25" s="83"/>
      <c r="BD25" s="83"/>
      <c r="BE25" s="83"/>
      <c r="BF25" s="25"/>
      <c r="BG25" s="25"/>
      <c r="BH25" s="25"/>
      <c r="BI25" s="25"/>
      <c r="BJ25" s="16"/>
      <c r="BK25" s="16"/>
      <c r="BL25" s="16"/>
      <c r="BM25" s="16"/>
      <c r="BN25" s="16"/>
      <c r="BO25" s="16"/>
      <c r="BP25" s="25"/>
      <c r="BQ25" s="95"/>
    </row>
    <row r="26" spans="2:69" x14ac:dyDescent="0.2">
      <c r="B26" s="133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Q26" s="2">
        <v>0</v>
      </c>
      <c r="R26" s="2">
        <v>0</v>
      </c>
      <c r="S26" s="59" t="str">
        <f t="shared" si="8"/>
        <v/>
      </c>
      <c r="T26" s="59"/>
      <c r="U26" s="65" t="str">
        <f t="shared" si="9"/>
        <v/>
      </c>
      <c r="V26" s="66"/>
      <c r="W26" s="66"/>
      <c r="X26" s="66"/>
      <c r="Y26" s="65"/>
      <c r="Z26" s="66"/>
      <c r="AA26" s="66"/>
      <c r="AB26" s="65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103"/>
      <c r="AQ26" s="66"/>
      <c r="AR26" s="78"/>
      <c r="AT26" s="16"/>
      <c r="AU26" s="2">
        <f t="shared" ref="AU26:AU31" si="15">Q26*R26*O26</f>
        <v>0</v>
      </c>
      <c r="AV26" s="16"/>
      <c r="AX26" s="2">
        <f t="shared" ref="AX26:BA31" si="16">IF(J26="x",AX$3,"")</f>
        <v>0</v>
      </c>
      <c r="AY26" s="2" t="str">
        <f t="shared" si="16"/>
        <v/>
      </c>
      <c r="AZ26" s="2" t="str">
        <f t="shared" si="16"/>
        <v/>
      </c>
      <c r="BA26" s="2" t="str">
        <f t="shared" si="16"/>
        <v/>
      </c>
      <c r="BB26" s="16"/>
      <c r="BC26" s="2">
        <f t="shared" ref="BC26:BC31" si="17">COUNTIF(J26:M26,"=x")</f>
        <v>1</v>
      </c>
      <c r="BD26" s="2">
        <f t="shared" si="12"/>
        <v>0</v>
      </c>
      <c r="BE26" s="2" t="str">
        <f t="shared" ref="BE26:BE35" si="18">IF(AND(BC26&gt;0,Q26=1),BD26*O26,"")</f>
        <v/>
      </c>
      <c r="BJ26" s="16"/>
      <c r="BK26" s="16"/>
      <c r="BL26" s="16"/>
      <c r="BM26" s="16"/>
      <c r="BN26" s="16"/>
      <c r="BO26" s="16"/>
      <c r="BP26" s="25"/>
      <c r="BQ26" s="65" t="str">
        <f t="shared" si="14"/>
        <v/>
      </c>
    </row>
    <row r="27" spans="2:69" x14ac:dyDescent="0.2">
      <c r="B27" s="134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Q27" s="2">
        <v>0</v>
      </c>
      <c r="R27" s="2">
        <v>0</v>
      </c>
      <c r="S27" s="59" t="str">
        <f t="shared" si="8"/>
        <v/>
      </c>
      <c r="T27" s="59"/>
      <c r="U27" s="65" t="str">
        <f t="shared" si="9"/>
        <v/>
      </c>
      <c r="V27" s="66"/>
      <c r="W27" s="66"/>
      <c r="X27" s="66"/>
      <c r="Y27" s="65"/>
      <c r="Z27" s="66"/>
      <c r="AA27" s="66"/>
      <c r="AB27" s="65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103"/>
      <c r="AQ27" s="66"/>
      <c r="AR27" s="78"/>
      <c r="AT27" s="16"/>
      <c r="AU27" s="2">
        <f t="shared" si="15"/>
        <v>0</v>
      </c>
      <c r="AV27" s="16"/>
      <c r="AX27" s="2">
        <f t="shared" si="16"/>
        <v>0</v>
      </c>
      <c r="AY27" s="2" t="str">
        <f t="shared" si="16"/>
        <v/>
      </c>
      <c r="AZ27" s="2" t="str">
        <f t="shared" si="16"/>
        <v/>
      </c>
      <c r="BA27" s="2" t="str">
        <f t="shared" si="16"/>
        <v/>
      </c>
      <c r="BB27" s="16"/>
      <c r="BC27" s="2">
        <f t="shared" si="17"/>
        <v>1</v>
      </c>
      <c r="BD27" s="2">
        <f t="shared" si="12"/>
        <v>0</v>
      </c>
      <c r="BE27" s="2" t="str">
        <f t="shared" si="18"/>
        <v/>
      </c>
      <c r="BJ27" s="16"/>
      <c r="BK27" s="16"/>
      <c r="BL27" s="16"/>
      <c r="BM27" s="16"/>
      <c r="BN27" s="16"/>
      <c r="BO27" s="16"/>
      <c r="BP27" s="25"/>
      <c r="BQ27" s="65" t="str">
        <f t="shared" si="14"/>
        <v/>
      </c>
    </row>
    <row r="28" spans="2:69" x14ac:dyDescent="0.2">
      <c r="B28" s="134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Q28" s="2">
        <v>0</v>
      </c>
      <c r="R28" s="2">
        <v>0</v>
      </c>
      <c r="S28" s="59" t="str">
        <f t="shared" si="8"/>
        <v/>
      </c>
      <c r="T28" s="59"/>
      <c r="U28" s="65" t="str">
        <f t="shared" si="9"/>
        <v/>
      </c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103"/>
      <c r="AQ28" s="66"/>
      <c r="AR28" s="78"/>
      <c r="AT28" s="16"/>
      <c r="AU28" s="2">
        <f t="shared" si="15"/>
        <v>0</v>
      </c>
      <c r="AV28" s="16"/>
      <c r="AX28" s="2">
        <f t="shared" si="16"/>
        <v>0</v>
      </c>
      <c r="AY28" s="2" t="str">
        <f t="shared" si="16"/>
        <v/>
      </c>
      <c r="AZ28" s="2" t="str">
        <f t="shared" si="16"/>
        <v/>
      </c>
      <c r="BA28" s="2" t="str">
        <f t="shared" si="16"/>
        <v/>
      </c>
      <c r="BB28" s="16"/>
      <c r="BC28" s="2">
        <f t="shared" si="17"/>
        <v>1</v>
      </c>
      <c r="BD28" s="2">
        <f t="shared" si="12"/>
        <v>0</v>
      </c>
      <c r="BE28" s="2" t="str">
        <f t="shared" si="18"/>
        <v/>
      </c>
      <c r="BJ28" s="16"/>
      <c r="BK28" s="16"/>
      <c r="BL28" s="16"/>
      <c r="BM28" s="16"/>
      <c r="BN28" s="16"/>
      <c r="BO28" s="16"/>
      <c r="BP28" s="25"/>
      <c r="BQ28" s="65" t="str">
        <f t="shared" si="14"/>
        <v/>
      </c>
    </row>
    <row r="29" spans="2:69" x14ac:dyDescent="0.2">
      <c r="B29" s="134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Q29" s="2">
        <v>0</v>
      </c>
      <c r="R29" s="2">
        <v>0</v>
      </c>
      <c r="S29" s="59" t="str">
        <f t="shared" si="8"/>
        <v/>
      </c>
      <c r="T29" s="59"/>
      <c r="U29" s="65" t="str">
        <f t="shared" si="9"/>
        <v/>
      </c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103"/>
      <c r="AQ29" s="66"/>
      <c r="AR29" s="78"/>
      <c r="AT29" s="16"/>
      <c r="AU29" s="2">
        <f t="shared" si="15"/>
        <v>0</v>
      </c>
      <c r="AV29" s="16"/>
      <c r="AX29" s="2">
        <f t="shared" si="16"/>
        <v>0</v>
      </c>
      <c r="AY29" s="2" t="str">
        <f t="shared" si="16"/>
        <v/>
      </c>
      <c r="AZ29" s="2" t="str">
        <f t="shared" si="16"/>
        <v/>
      </c>
      <c r="BA29" s="2" t="str">
        <f t="shared" si="16"/>
        <v/>
      </c>
      <c r="BB29" s="16"/>
      <c r="BC29" s="2">
        <f t="shared" si="17"/>
        <v>1</v>
      </c>
      <c r="BD29" s="2">
        <f t="shared" si="12"/>
        <v>0</v>
      </c>
      <c r="BE29" s="2" t="str">
        <f t="shared" si="18"/>
        <v/>
      </c>
      <c r="BJ29" s="16"/>
      <c r="BK29" s="16"/>
      <c r="BL29" s="16"/>
      <c r="BM29" s="16"/>
      <c r="BN29" s="16"/>
      <c r="BO29" s="16"/>
      <c r="BP29" s="25"/>
      <c r="BQ29" s="65" t="str">
        <f t="shared" si="14"/>
        <v/>
      </c>
    </row>
    <row r="30" spans="2:69" x14ac:dyDescent="0.2">
      <c r="B30" s="134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Q30" s="2">
        <v>0</v>
      </c>
      <c r="R30" s="2">
        <v>0</v>
      </c>
      <c r="S30" s="59" t="str">
        <f t="shared" si="8"/>
        <v/>
      </c>
      <c r="T30" s="59"/>
      <c r="U30" s="65" t="str">
        <f t="shared" si="9"/>
        <v/>
      </c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103"/>
      <c r="AQ30" s="66"/>
      <c r="AR30" s="78"/>
      <c r="AT30" s="16"/>
      <c r="AU30" s="2">
        <f t="shared" si="15"/>
        <v>0</v>
      </c>
      <c r="AV30" s="16"/>
      <c r="AX30" s="2">
        <f t="shared" si="16"/>
        <v>0</v>
      </c>
      <c r="AY30" s="2" t="str">
        <f t="shared" si="16"/>
        <v/>
      </c>
      <c r="AZ30" s="2" t="str">
        <f t="shared" si="16"/>
        <v/>
      </c>
      <c r="BA30" s="2" t="str">
        <f t="shared" si="16"/>
        <v/>
      </c>
      <c r="BB30" s="16"/>
      <c r="BC30" s="2">
        <f t="shared" si="17"/>
        <v>1</v>
      </c>
      <c r="BD30" s="2">
        <f t="shared" si="12"/>
        <v>0</v>
      </c>
      <c r="BE30" s="2" t="str">
        <f t="shared" si="18"/>
        <v/>
      </c>
      <c r="BJ30" s="16"/>
      <c r="BK30" s="16"/>
      <c r="BL30" s="16"/>
      <c r="BM30" s="16"/>
      <c r="BN30" s="16"/>
      <c r="BO30" s="16"/>
      <c r="BP30" s="25"/>
      <c r="BQ30" s="65" t="str">
        <f t="shared" si="14"/>
        <v/>
      </c>
    </row>
    <row r="31" spans="2:69" x14ac:dyDescent="0.2">
      <c r="B31" s="135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Q31" s="2">
        <v>0</v>
      </c>
      <c r="R31" s="2">
        <v>0</v>
      </c>
      <c r="S31" s="59" t="str">
        <f t="shared" si="8"/>
        <v/>
      </c>
      <c r="T31" s="59"/>
      <c r="U31" s="65" t="str">
        <f t="shared" si="9"/>
        <v/>
      </c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103"/>
      <c r="AQ31" s="66"/>
      <c r="AR31" s="78"/>
      <c r="AT31" s="16"/>
      <c r="AU31" s="2">
        <f t="shared" si="15"/>
        <v>0</v>
      </c>
      <c r="AV31" s="16"/>
      <c r="AW31" s="25"/>
      <c r="AX31" s="2">
        <f t="shared" si="16"/>
        <v>0</v>
      </c>
      <c r="AY31" s="2" t="str">
        <f t="shared" si="16"/>
        <v/>
      </c>
      <c r="AZ31" s="2" t="str">
        <f t="shared" si="16"/>
        <v/>
      </c>
      <c r="BA31" s="2" t="str">
        <f t="shared" si="16"/>
        <v/>
      </c>
      <c r="BB31" s="16"/>
      <c r="BC31" s="2">
        <f t="shared" si="17"/>
        <v>1</v>
      </c>
      <c r="BD31" s="2">
        <f t="shared" si="12"/>
        <v>0</v>
      </c>
      <c r="BE31" s="2" t="str">
        <f t="shared" si="18"/>
        <v/>
      </c>
      <c r="BJ31" s="16"/>
      <c r="BK31" s="16"/>
      <c r="BL31" s="16"/>
      <c r="BM31" s="16"/>
      <c r="BN31" s="16"/>
      <c r="BO31" s="16"/>
      <c r="BP31" s="25"/>
      <c r="BQ31" s="65" t="str">
        <f t="shared" si="14"/>
        <v/>
      </c>
    </row>
    <row r="32" spans="2:69" x14ac:dyDescent="0.2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Q32" s="16"/>
      <c r="R32" s="16"/>
      <c r="S32" s="64"/>
      <c r="T32" s="1"/>
      <c r="U32" t="str">
        <f t="shared" si="9"/>
        <v/>
      </c>
      <c r="AP32" s="104"/>
      <c r="AR32" s="81"/>
      <c r="AT32" s="1"/>
      <c r="AU32" s="16"/>
      <c r="AV32" s="1"/>
      <c r="AW32" s="25"/>
      <c r="AX32" s="16"/>
      <c r="AY32" s="16"/>
      <c r="AZ32" s="16"/>
      <c r="BA32" s="16"/>
      <c r="BB32" s="16"/>
      <c r="BC32" s="16"/>
      <c r="BD32" s="16"/>
      <c r="BE32" s="16" t="str">
        <f t="shared" si="18"/>
        <v/>
      </c>
      <c r="BJ32" t="str">
        <f t="shared" ref="BJ32:BK35" si="19">IF(G32="x",BJ$3,"")</f>
        <v/>
      </c>
      <c r="BK32" t="str">
        <f t="shared" si="19"/>
        <v/>
      </c>
      <c r="BN32" t="str">
        <f t="shared" si="10"/>
        <v/>
      </c>
      <c r="BO32" t="str">
        <f>IF(BM32&gt;0,BN32*O32,"")</f>
        <v/>
      </c>
      <c r="BQ32" s="16" t="str">
        <f t="shared" si="13"/>
        <v/>
      </c>
    </row>
    <row r="33" spans="2:69" x14ac:dyDescent="0.2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Q33" s="16"/>
      <c r="R33" s="16"/>
      <c r="S33" s="64"/>
      <c r="T33" s="1"/>
      <c r="U33" t="str">
        <f t="shared" si="9"/>
        <v/>
      </c>
      <c r="AP33" s="104"/>
      <c r="AR33" s="81"/>
      <c r="AT33" s="1"/>
      <c r="AU33" s="16"/>
      <c r="AV33" s="1"/>
      <c r="AW33" s="25"/>
      <c r="AX33" s="16"/>
      <c r="AY33" s="16"/>
      <c r="AZ33" s="16"/>
      <c r="BA33" s="16"/>
      <c r="BB33" s="16"/>
      <c r="BC33" s="16"/>
      <c r="BD33" s="16"/>
      <c r="BE33" s="16" t="str">
        <f t="shared" si="18"/>
        <v/>
      </c>
      <c r="BJ33" t="str">
        <f t="shared" si="19"/>
        <v/>
      </c>
      <c r="BK33" t="str">
        <f t="shared" si="19"/>
        <v/>
      </c>
      <c r="BN33" t="str">
        <f t="shared" si="10"/>
        <v/>
      </c>
      <c r="BO33" t="str">
        <f>IF(BM33&gt;0,BN33*O33,"")</f>
        <v/>
      </c>
      <c r="BQ33" s="16" t="str">
        <f t="shared" si="13"/>
        <v/>
      </c>
    </row>
    <row r="34" spans="2:69" x14ac:dyDescent="0.2">
      <c r="B34" s="137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 t="s">
        <v>30</v>
      </c>
      <c r="K34" s="22"/>
      <c r="L34" s="22"/>
      <c r="M34" s="22"/>
      <c r="N34" s="46"/>
      <c r="O34" s="20">
        <v>3</v>
      </c>
      <c r="Q34" s="2">
        <v>1</v>
      </c>
      <c r="R34" s="2">
        <v>1</v>
      </c>
      <c r="S34" s="59" t="str">
        <f t="shared" si="8"/>
        <v/>
      </c>
      <c r="T34" s="1"/>
      <c r="U34" s="2">
        <f t="shared" si="9"/>
        <v>0</v>
      </c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2"/>
      <c r="AI34" s="2"/>
      <c r="AJ34" s="16"/>
      <c r="AK34" s="16"/>
      <c r="AL34" s="16"/>
      <c r="AM34" s="16"/>
      <c r="AN34" s="16"/>
      <c r="AO34" s="16"/>
      <c r="AP34" s="103"/>
      <c r="AQ34" s="16"/>
      <c r="AR34" s="82"/>
      <c r="AT34" s="16"/>
      <c r="AU34" s="2">
        <f>Q34*R34*O34</f>
        <v>3</v>
      </c>
      <c r="AV34" s="16"/>
      <c r="AX34" s="2">
        <f t="shared" ref="AX34:BA35" si="20">IF(J34="x",AX$3,"")</f>
        <v>0</v>
      </c>
      <c r="AY34" s="2" t="str">
        <f t="shared" si="20"/>
        <v/>
      </c>
      <c r="AZ34" s="2" t="str">
        <f t="shared" si="20"/>
        <v/>
      </c>
      <c r="BA34" s="2" t="str">
        <f t="shared" si="20"/>
        <v/>
      </c>
      <c r="BB34" s="16"/>
      <c r="BC34" s="2">
        <f>COUNTIF(J34:M34,"=x")</f>
        <v>1</v>
      </c>
      <c r="BD34" s="2">
        <f t="shared" si="12"/>
        <v>0</v>
      </c>
      <c r="BE34" s="2">
        <f t="shared" si="18"/>
        <v>0</v>
      </c>
      <c r="BJ34" s="2">
        <f t="shared" si="19"/>
        <v>0</v>
      </c>
      <c r="BK34" s="2" t="str">
        <f t="shared" si="19"/>
        <v/>
      </c>
      <c r="BL34" s="1"/>
      <c r="BM34" s="2">
        <f>COUNTIF(G34:H34,"=x")</f>
        <v>1</v>
      </c>
      <c r="BN34" s="2">
        <f t="shared" si="10"/>
        <v>0</v>
      </c>
      <c r="BO34" s="2">
        <f>IF(AND(BM34&gt;0,Q34=1),BN34*O34,"")</f>
        <v>0</v>
      </c>
      <c r="BQ34" s="2">
        <f t="shared" ref="BQ34:BQ35" si="21">MAX(BE34,BO34)</f>
        <v>0</v>
      </c>
    </row>
    <row r="35" spans="2:69" x14ac:dyDescent="0.2">
      <c r="B35" s="163"/>
      <c r="C35" s="8" t="s">
        <v>54</v>
      </c>
      <c r="D35" s="9"/>
      <c r="E35" s="10"/>
      <c r="F35" s="11"/>
      <c r="G35" s="77"/>
      <c r="H35" s="77"/>
      <c r="I35" s="1"/>
      <c r="J35" s="75" t="s">
        <v>30</v>
      </c>
      <c r="K35" s="99"/>
      <c r="L35" s="100"/>
      <c r="M35" s="75"/>
      <c r="O35" s="20">
        <v>1</v>
      </c>
      <c r="Q35" s="2">
        <v>1</v>
      </c>
      <c r="R35" s="2">
        <v>0</v>
      </c>
      <c r="S35" s="59" t="str">
        <f t="shared" si="8"/>
        <v>Bonus</v>
      </c>
      <c r="U35" s="2">
        <f t="shared" si="9"/>
        <v>0</v>
      </c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03"/>
      <c r="AR35" s="82"/>
      <c r="AU35" s="2">
        <f>Q35*R35*O35</f>
        <v>0</v>
      </c>
      <c r="AX35" s="2">
        <f t="shared" si="20"/>
        <v>0</v>
      </c>
      <c r="AY35" s="2" t="str">
        <f t="shared" si="20"/>
        <v/>
      </c>
      <c r="AZ35" s="2" t="str">
        <f t="shared" si="20"/>
        <v/>
      </c>
      <c r="BA35" s="2" t="str">
        <f t="shared" si="20"/>
        <v/>
      </c>
      <c r="BC35" s="2">
        <f>COUNTIF(J35:M35,"=x")</f>
        <v>1</v>
      </c>
      <c r="BD35" s="2">
        <f t="shared" ref="BD35" si="22">IF(BC35&gt;0,AVERAGE(AX35:BA35),"")</f>
        <v>0</v>
      </c>
      <c r="BE35" s="2">
        <f t="shared" si="18"/>
        <v>0</v>
      </c>
      <c r="BJ35" s="2" t="str">
        <f t="shared" si="19"/>
        <v/>
      </c>
      <c r="BK35" s="2" t="str">
        <f t="shared" si="19"/>
        <v/>
      </c>
      <c r="BM35" s="2">
        <f>COUNTIF(G35:H35,"=x")</f>
        <v>0</v>
      </c>
      <c r="BN35" s="2" t="str">
        <f t="shared" ref="BN35" si="23">IF(BM35&gt;0,AVERAGE(BJ35:BK35),"")</f>
        <v/>
      </c>
      <c r="BO35" s="2" t="str">
        <f>IF(AND(BM35&gt;0,Q35=1),BN35*O35,"")</f>
        <v/>
      </c>
      <c r="BQ35" s="2">
        <f t="shared" si="21"/>
        <v>0</v>
      </c>
    </row>
    <row r="36" spans="2:69" ht="13.5" hidden="1" outlineLevel="1" thickBot="1" x14ac:dyDescent="0.25">
      <c r="C36" s="11"/>
      <c r="D36" s="11"/>
      <c r="E36" s="11"/>
      <c r="F36" s="11"/>
      <c r="G36" s="11"/>
      <c r="H36" s="11"/>
      <c r="O36" s="53"/>
      <c r="P36" s="25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106"/>
      <c r="AQ36" s="25"/>
      <c r="AR36" s="25"/>
      <c r="AS36" s="25"/>
      <c r="AT36" s="16"/>
      <c r="AU36" s="54"/>
      <c r="AV36" s="16"/>
      <c r="AW36" s="25"/>
      <c r="AX36" s="25"/>
      <c r="AY36" s="25"/>
      <c r="AZ36" s="25"/>
      <c r="BA36" s="25"/>
      <c r="BB36" s="25"/>
      <c r="BC36" s="25"/>
      <c r="BD36" s="25"/>
      <c r="BE36" s="53"/>
      <c r="BQ36" s="53"/>
    </row>
    <row r="37" spans="2:69" ht="12.75" hidden="1" customHeight="1" outlineLevel="1" thickTop="1" x14ac:dyDescent="0.2">
      <c r="O37" s="51">
        <f>SUM(O5:O35)</f>
        <v>80</v>
      </c>
      <c r="P37" s="1"/>
      <c r="Q37" s="1"/>
      <c r="R37" s="1"/>
      <c r="S37" s="1"/>
      <c r="T37" s="1"/>
      <c r="U37" s="1">
        <f>BQ37</f>
        <v>0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07"/>
      <c r="AQ37" s="1"/>
      <c r="AR37" s="1"/>
      <c r="AT37" s="51"/>
      <c r="AU37" s="51">
        <f>SUM(AT5:AW35)</f>
        <v>28</v>
      </c>
      <c r="AV37" s="51"/>
      <c r="AW37" s="1"/>
      <c r="AX37" s="1"/>
      <c r="AY37" s="1"/>
      <c r="AZ37" s="1"/>
      <c r="BA37" s="1"/>
      <c r="BB37" s="1"/>
      <c r="BC37" s="1"/>
      <c r="BD37" s="1"/>
      <c r="BE37" s="50">
        <f>SUM(BE5:BE35)</f>
        <v>0</v>
      </c>
      <c r="BP37" s="62" t="s">
        <v>34</v>
      </c>
      <c r="BQ37" s="52">
        <f>SUM(BQ5:BQ35)</f>
        <v>0</v>
      </c>
    </row>
    <row r="38" spans="2:69" hidden="1" outlineLevel="1" x14ac:dyDescent="0.2"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07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P38" s="63"/>
      <c r="BQ38" s="51"/>
    </row>
    <row r="39" spans="2:69" hidden="1" outlineLevel="1" x14ac:dyDescent="0.2"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07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52">
        <f>BE37/AU37</f>
        <v>0</v>
      </c>
      <c r="BP39" s="62" t="s">
        <v>37</v>
      </c>
      <c r="BQ39" s="52">
        <f>BQ37/AU37</f>
        <v>0</v>
      </c>
    </row>
    <row r="40" spans="2:69" hidden="1" outlineLevel="1" x14ac:dyDescent="0.2">
      <c r="AP40" s="104"/>
      <c r="BP40" s="63"/>
      <c r="BQ40" s="51"/>
    </row>
    <row r="41" spans="2:69" hidden="1" outlineLevel="1" x14ac:dyDescent="0.2">
      <c r="AP41" s="104"/>
      <c r="BE41" s="60">
        <f>5/3*BE39+1</f>
        <v>1</v>
      </c>
      <c r="BP41" s="62" t="s">
        <v>36</v>
      </c>
      <c r="BQ41" s="51">
        <f>5/3*BQ39+1</f>
        <v>1</v>
      </c>
    </row>
    <row r="42" spans="2:69" hidden="1" outlineLevel="1" x14ac:dyDescent="0.2">
      <c r="AP42" s="104"/>
    </row>
    <row r="43" spans="2:69" collapsed="1" x14ac:dyDescent="0.2">
      <c r="N43" s="38"/>
      <c r="AP43" s="104"/>
    </row>
    <row r="44" spans="2:69" x14ac:dyDescent="0.2">
      <c r="B44" s="137" t="s">
        <v>0</v>
      </c>
      <c r="C44" s="5" t="s">
        <v>6</v>
      </c>
      <c r="D44" s="6"/>
      <c r="E44" s="7"/>
      <c r="F44" s="38"/>
      <c r="G44" s="156">
        <v>0</v>
      </c>
      <c r="H44" s="157"/>
      <c r="I44" s="157"/>
      <c r="J44" s="157"/>
      <c r="K44" s="157"/>
      <c r="L44" s="157"/>
      <c r="M44" s="158"/>
      <c r="N44" s="38"/>
      <c r="AR44" s="101"/>
    </row>
    <row r="45" spans="2:69" x14ac:dyDescent="0.2">
      <c r="B45" s="139"/>
      <c r="C45" s="8" t="s">
        <v>7</v>
      </c>
      <c r="D45" s="9"/>
      <c r="E45" s="10"/>
      <c r="F45" s="38"/>
      <c r="G45" s="159"/>
      <c r="H45" s="160"/>
      <c r="I45" s="160"/>
      <c r="J45" s="160"/>
      <c r="K45" s="160"/>
      <c r="L45" s="160"/>
      <c r="M45" s="161"/>
      <c r="N45" s="38"/>
      <c r="AR45" s="101"/>
      <c r="BF45" s="141"/>
      <c r="BG45" s="141"/>
      <c r="BH45" s="26"/>
      <c r="BI45" s="142"/>
      <c r="BJ45" s="142"/>
      <c r="BK45" s="142"/>
      <c r="BL45" s="35"/>
      <c r="BM45" s="26"/>
      <c r="BN45" s="26"/>
      <c r="BO45" s="26"/>
    </row>
    <row r="46" spans="2:69" x14ac:dyDescent="0.2">
      <c r="D46" s="25"/>
      <c r="E46" s="38"/>
      <c r="F46" s="38"/>
      <c r="G46" s="162" t="s">
        <v>35</v>
      </c>
      <c r="H46" s="162"/>
      <c r="I46" s="162"/>
      <c r="J46" s="162"/>
      <c r="K46" s="162"/>
      <c r="L46" s="162"/>
      <c r="M46" s="162"/>
      <c r="BF46" s="36"/>
      <c r="BG46" s="36"/>
      <c r="BH46" s="26"/>
      <c r="BI46" s="27"/>
      <c r="BJ46" s="35"/>
      <c r="BK46" s="35"/>
      <c r="BL46" s="35"/>
      <c r="BM46" s="26"/>
      <c r="BN46" s="27"/>
      <c r="BO46" s="26"/>
    </row>
    <row r="47" spans="2:69" ht="13.5" thickBot="1" x14ac:dyDescent="0.25">
      <c r="D47" s="13"/>
      <c r="E47" s="38"/>
      <c r="F47" s="38"/>
      <c r="G47" s="38"/>
      <c r="H47" s="38"/>
      <c r="I47" s="38"/>
      <c r="J47" s="38"/>
      <c r="K47" s="38"/>
      <c r="L47" s="38"/>
      <c r="M47" s="38"/>
      <c r="BF47" s="26"/>
      <c r="BG47" s="26"/>
      <c r="BH47" s="26"/>
      <c r="BI47" s="26"/>
      <c r="BJ47" s="26"/>
      <c r="BK47" s="26"/>
      <c r="BL47" s="26"/>
      <c r="BM47" s="26"/>
      <c r="BN47" s="26"/>
      <c r="BO47" s="26"/>
    </row>
    <row r="48" spans="2:69" ht="24" thickBot="1" x14ac:dyDescent="0.25">
      <c r="D48" s="151" t="s">
        <v>43</v>
      </c>
      <c r="E48" s="152"/>
      <c r="G48" s="153">
        <f>arrondi10(BQ41+G44)</f>
        <v>1</v>
      </c>
      <c r="H48" s="154"/>
      <c r="I48" s="154"/>
      <c r="J48" s="154"/>
      <c r="K48" s="154"/>
      <c r="L48" s="154"/>
      <c r="M48" s="155"/>
      <c r="R48" s="24"/>
      <c r="S48" s="24"/>
      <c r="T48" s="76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BF48" s="23"/>
      <c r="BG48" s="23"/>
      <c r="BH48" s="26"/>
      <c r="BI48" s="23"/>
      <c r="BJ48" s="28"/>
      <c r="BK48" s="36"/>
      <c r="BL48" s="36"/>
      <c r="BM48" s="164"/>
      <c r="BN48" s="165"/>
      <c r="BO48" s="26"/>
    </row>
    <row r="49" spans="6:67" x14ac:dyDescent="0.2">
      <c r="F49" s="13"/>
      <c r="G49" s="48" t="s">
        <v>29</v>
      </c>
      <c r="H49" s="48"/>
      <c r="I49" s="48"/>
      <c r="J49" s="48"/>
      <c r="K49" s="48"/>
      <c r="L49" s="48"/>
      <c r="M49" s="48"/>
      <c r="BF49" s="23"/>
      <c r="BG49" s="23"/>
      <c r="BH49" s="26"/>
      <c r="BI49" s="23"/>
      <c r="BJ49" s="28"/>
      <c r="BK49" s="36"/>
      <c r="BL49" s="36"/>
      <c r="BM49" s="164"/>
      <c r="BN49" s="166"/>
      <c r="BO49" s="26"/>
    </row>
    <row r="50" spans="6:67" x14ac:dyDescent="0.2">
      <c r="BF50" s="26"/>
      <c r="BG50" s="26"/>
      <c r="BH50" s="26"/>
      <c r="BI50" s="23"/>
      <c r="BJ50" s="29"/>
      <c r="BK50" s="26"/>
      <c r="BL50" s="36"/>
      <c r="BM50" s="30"/>
      <c r="BN50" s="26"/>
      <c r="BO50" s="26"/>
    </row>
    <row r="51" spans="6:67" x14ac:dyDescent="0.2">
      <c r="BF51" s="23"/>
      <c r="BG51" s="23"/>
      <c r="BH51" s="26"/>
      <c r="BI51" s="23"/>
      <c r="BJ51" s="28"/>
      <c r="BK51" s="36"/>
      <c r="BL51" s="36"/>
      <c r="BM51" s="164"/>
      <c r="BN51" s="165"/>
      <c r="BO51" s="26"/>
    </row>
    <row r="52" spans="6:67" ht="12.75" customHeight="1" x14ac:dyDescent="0.2">
      <c r="BF52" s="23"/>
      <c r="BG52" s="23"/>
      <c r="BH52" s="26"/>
      <c r="BI52" s="23"/>
      <c r="BJ52" s="28"/>
      <c r="BK52" s="36"/>
      <c r="BL52" s="36"/>
      <c r="BM52" s="164"/>
      <c r="BN52" s="166"/>
      <c r="BO52" s="26"/>
    </row>
    <row r="53" spans="6:67" ht="13.5" customHeight="1" x14ac:dyDescent="0.2">
      <c r="BF53" s="23"/>
      <c r="BG53" s="23"/>
      <c r="BH53" s="26"/>
      <c r="BI53" s="23"/>
      <c r="BJ53" s="28"/>
      <c r="BK53" s="36"/>
      <c r="BL53" s="36"/>
      <c r="BM53" s="164"/>
      <c r="BN53" s="166"/>
      <c r="BO53" s="26"/>
    </row>
    <row r="54" spans="6:67" x14ac:dyDescent="0.2">
      <c r="BF54" s="23"/>
      <c r="BG54" s="23"/>
      <c r="BH54" s="26"/>
      <c r="BI54" s="23"/>
      <c r="BJ54" s="28"/>
      <c r="BK54" s="36"/>
      <c r="BL54" s="36"/>
      <c r="BM54" s="164"/>
      <c r="BN54" s="166"/>
      <c r="BO54" s="26"/>
    </row>
    <row r="55" spans="6:67" x14ac:dyDescent="0.2">
      <c r="BF55" s="26"/>
      <c r="BG55" s="26"/>
      <c r="BH55" s="26"/>
      <c r="BI55" s="23"/>
      <c r="BJ55" s="29"/>
      <c r="BK55" s="26"/>
      <c r="BL55" s="36"/>
      <c r="BM55" s="30"/>
      <c r="BN55" s="26"/>
      <c r="BO55" s="26"/>
    </row>
    <row r="56" spans="6:67" x14ac:dyDescent="0.2">
      <c r="BF56" s="23"/>
      <c r="BG56" s="23"/>
      <c r="BH56" s="26"/>
      <c r="BI56" s="23"/>
      <c r="BJ56" s="28"/>
      <c r="BK56" s="36"/>
      <c r="BL56" s="36"/>
      <c r="BM56" s="164"/>
      <c r="BN56" s="165"/>
      <c r="BO56" s="26"/>
    </row>
    <row r="57" spans="6:67" x14ac:dyDescent="0.2">
      <c r="BF57" s="23"/>
      <c r="BG57" s="23"/>
      <c r="BH57" s="26"/>
      <c r="BI57" s="23"/>
      <c r="BJ57" s="28"/>
      <c r="BK57" s="36"/>
      <c r="BL57" s="36"/>
      <c r="BM57" s="164"/>
      <c r="BN57" s="165"/>
      <c r="BO57" s="26"/>
    </row>
    <row r="58" spans="6:67" x14ac:dyDescent="0.2">
      <c r="BF58" s="23"/>
      <c r="BG58" s="23"/>
      <c r="BH58" s="26"/>
      <c r="BI58" s="23"/>
      <c r="BJ58" s="28"/>
      <c r="BK58" s="36"/>
      <c r="BL58" s="36"/>
      <c r="BM58" s="164"/>
      <c r="BN58" s="165"/>
      <c r="BO58" s="26"/>
    </row>
    <row r="59" spans="6:67" x14ac:dyDescent="0.2">
      <c r="BF59" s="23"/>
      <c r="BG59" s="23"/>
      <c r="BH59" s="26"/>
      <c r="BI59" s="23"/>
      <c r="BJ59" s="28"/>
      <c r="BK59" s="36"/>
      <c r="BL59" s="36"/>
      <c r="BM59" s="164"/>
      <c r="BN59" s="165"/>
      <c r="BO59" s="26"/>
    </row>
    <row r="60" spans="6:67" x14ac:dyDescent="0.2">
      <c r="BF60" s="23"/>
      <c r="BG60" s="23"/>
      <c r="BH60" s="26"/>
      <c r="BI60" s="23"/>
      <c r="BJ60" s="28"/>
      <c r="BK60" s="36"/>
      <c r="BL60" s="36"/>
      <c r="BM60" s="164"/>
      <c r="BN60" s="166"/>
      <c r="BO60" s="26"/>
    </row>
    <row r="61" spans="6:67" x14ac:dyDescent="0.2">
      <c r="BF61" s="23"/>
      <c r="BG61" s="23"/>
      <c r="BH61" s="26"/>
      <c r="BI61" s="23"/>
      <c r="BJ61" s="28"/>
      <c r="BK61" s="36"/>
      <c r="BL61" s="36"/>
      <c r="BM61" s="164"/>
      <c r="BN61" s="166"/>
      <c r="BO61" s="26"/>
    </row>
    <row r="62" spans="6:67" x14ac:dyDescent="0.2">
      <c r="BF62" s="23"/>
      <c r="BG62" s="23"/>
      <c r="BH62" s="26"/>
      <c r="BI62" s="23"/>
      <c r="BJ62" s="28"/>
      <c r="BK62" s="36"/>
      <c r="BL62" s="36"/>
      <c r="BM62" s="164"/>
      <c r="BN62" s="166"/>
      <c r="BO62" s="26"/>
    </row>
    <row r="63" spans="6:67" x14ac:dyDescent="0.2">
      <c r="BF63" s="26"/>
      <c r="BG63" s="26"/>
      <c r="BH63" s="26"/>
      <c r="BI63" s="23"/>
      <c r="BJ63" s="29"/>
      <c r="BK63" s="26"/>
      <c r="BL63" s="36"/>
      <c r="BM63" s="30"/>
      <c r="BN63" s="26"/>
      <c r="BO63" s="26"/>
    </row>
    <row r="64" spans="6:67" x14ac:dyDescent="0.2">
      <c r="BF64" s="23"/>
      <c r="BG64" s="23"/>
      <c r="BH64" s="26"/>
      <c r="BI64" s="23"/>
      <c r="BJ64" s="28"/>
      <c r="BK64" s="36"/>
      <c r="BL64" s="36"/>
      <c r="BM64" s="164"/>
      <c r="BN64" s="165"/>
      <c r="BO64" s="26"/>
    </row>
    <row r="65" spans="58:67" x14ac:dyDescent="0.2">
      <c r="BF65" s="23"/>
      <c r="BG65" s="23"/>
      <c r="BH65" s="26"/>
      <c r="BI65" s="23"/>
      <c r="BJ65" s="28"/>
      <c r="BK65" s="36"/>
      <c r="BL65" s="36"/>
      <c r="BM65" s="164"/>
      <c r="BN65" s="166"/>
      <c r="BO65" s="26"/>
    </row>
    <row r="66" spans="58:67" x14ac:dyDescent="0.2">
      <c r="BF66" s="26"/>
      <c r="BG66" s="26"/>
      <c r="BH66" s="26"/>
      <c r="BI66" s="23"/>
      <c r="BJ66" s="29"/>
      <c r="BK66" s="26"/>
      <c r="BL66" s="36"/>
      <c r="BM66" s="30"/>
      <c r="BN66" s="26"/>
      <c r="BO66" s="26"/>
    </row>
    <row r="67" spans="58:67" x14ac:dyDescent="0.2">
      <c r="BF67" s="23"/>
      <c r="BG67" s="23"/>
      <c r="BH67" s="26"/>
      <c r="BI67" s="23"/>
      <c r="BJ67" s="28"/>
      <c r="BK67" s="36"/>
      <c r="BL67" s="36"/>
      <c r="BM67" s="164"/>
      <c r="BN67" s="165"/>
      <c r="BO67" s="26"/>
    </row>
    <row r="68" spans="58:67" x14ac:dyDescent="0.2">
      <c r="BF68" s="23"/>
      <c r="BG68" s="23"/>
      <c r="BH68" s="26"/>
      <c r="BI68" s="23"/>
      <c r="BJ68" s="28"/>
      <c r="BK68" s="36"/>
      <c r="BL68" s="36"/>
      <c r="BM68" s="164"/>
      <c r="BN68" s="166"/>
      <c r="BO68" s="26"/>
    </row>
    <row r="69" spans="58:67" x14ac:dyDescent="0.2">
      <c r="BF69" s="23"/>
      <c r="BG69" s="23"/>
      <c r="BH69" s="26"/>
      <c r="BI69" s="23"/>
      <c r="BJ69" s="28"/>
      <c r="BK69" s="36"/>
      <c r="BL69" s="36"/>
      <c r="BM69" s="164"/>
      <c r="BN69" s="166"/>
      <c r="BO69" s="26"/>
    </row>
    <row r="70" spans="58:67" x14ac:dyDescent="0.2">
      <c r="BF70" s="26"/>
      <c r="BG70" s="26"/>
      <c r="BH70" s="26"/>
      <c r="BI70" s="26"/>
      <c r="BJ70" s="26"/>
      <c r="BK70" s="26"/>
      <c r="BL70" s="26"/>
      <c r="BM70" s="31"/>
      <c r="BN70" s="26"/>
      <c r="BO70" s="26"/>
    </row>
    <row r="71" spans="58:67" x14ac:dyDescent="0.2">
      <c r="BF71" s="26"/>
      <c r="BG71" s="26"/>
      <c r="BH71" s="26"/>
      <c r="BI71" s="26"/>
      <c r="BJ71" s="26"/>
      <c r="BK71" s="26"/>
      <c r="BL71" s="26"/>
      <c r="BM71" s="32"/>
      <c r="BN71" s="27"/>
      <c r="BO71" s="26"/>
    </row>
    <row r="72" spans="58:67" x14ac:dyDescent="0.2">
      <c r="BF72" s="26"/>
      <c r="BG72" s="26"/>
      <c r="BH72" s="26"/>
      <c r="BI72" s="26"/>
      <c r="BJ72" s="26"/>
      <c r="BK72" s="26"/>
      <c r="BL72" s="26"/>
      <c r="BM72" s="26"/>
      <c r="BN72" s="26"/>
      <c r="BO72" s="26"/>
    </row>
  </sheetData>
  <mergeCells count="54">
    <mergeCell ref="BM67:BM69"/>
    <mergeCell ref="BN67:BN69"/>
    <mergeCell ref="BN48:BN49"/>
    <mergeCell ref="BM56:BM62"/>
    <mergeCell ref="BN56:BN62"/>
    <mergeCell ref="BM64:BM65"/>
    <mergeCell ref="BN64:BN65"/>
    <mergeCell ref="BM51:BM54"/>
    <mergeCell ref="BN51:BN54"/>
    <mergeCell ref="BM48:BM49"/>
    <mergeCell ref="D48:E48"/>
    <mergeCell ref="G48:M48"/>
    <mergeCell ref="G44:M45"/>
    <mergeCell ref="G46:M46"/>
    <mergeCell ref="B34:B35"/>
    <mergeCell ref="B5:B7"/>
    <mergeCell ref="J2:M2"/>
    <mergeCell ref="B10:B12"/>
    <mergeCell ref="BJ2:BO2"/>
    <mergeCell ref="BF45:BG45"/>
    <mergeCell ref="BI45:BK45"/>
    <mergeCell ref="AR2:AR3"/>
    <mergeCell ref="B15:B18"/>
    <mergeCell ref="B44:B45"/>
    <mergeCell ref="B21:B23"/>
    <mergeCell ref="B26:B31"/>
    <mergeCell ref="AO2:AO3"/>
    <mergeCell ref="X2:X3"/>
    <mergeCell ref="W2:W3"/>
    <mergeCell ref="AA2:AA3"/>
    <mergeCell ref="AP2:AP3"/>
    <mergeCell ref="J1:M1"/>
    <mergeCell ref="G2:H2"/>
    <mergeCell ref="B2:E2"/>
    <mergeCell ref="AX2:BE2"/>
    <mergeCell ref="R2:R3"/>
    <mergeCell ref="O2:O3"/>
    <mergeCell ref="AU2:AU3"/>
    <mergeCell ref="Q2:Q3"/>
    <mergeCell ref="U2:U3"/>
    <mergeCell ref="C3:D3"/>
    <mergeCell ref="AG2:AG3"/>
    <mergeCell ref="AD2:AD3"/>
    <mergeCell ref="W1:AP1"/>
    <mergeCell ref="AN2:AN3"/>
    <mergeCell ref="AH2:AH3"/>
    <mergeCell ref="AM2:AM3"/>
    <mergeCell ref="AL2:AL3"/>
    <mergeCell ref="AI2:AI3"/>
    <mergeCell ref="AB2:AB3"/>
    <mergeCell ref="AC2:AC3"/>
    <mergeCell ref="AJ2:AJ3"/>
    <mergeCell ref="AE2:AE3"/>
    <mergeCell ref="AF2:AF3"/>
  </mergeCells>
  <conditionalFormatting sqref="AX3:BE3 BF45:BG45 AX2">
    <cfRule type="cellIs" dxfId="27" priority="3" stopIfTrue="1" operator="equal">
      <formula>1</formula>
    </cfRule>
  </conditionalFormatting>
  <conditionalFormatting sqref="BJ3:BK3">
    <cfRule type="cellIs" dxfId="26" priority="2" stopIfTrue="1" operator="equal">
      <formula>1</formula>
    </cfRule>
  </conditionalFormatting>
  <conditionalFormatting sqref="BM3:BO3 BQ3">
    <cfRule type="cellIs" dxfId="25" priority="1" stopIfTrue="1" operator="equal">
      <formula>1</formula>
    </cfRule>
  </conditionalFormatting>
  <printOptions horizontalCentered="1" verticalCentered="1"/>
  <pageMargins left="0.39370078740157483" right="0.39370078740157483" top="0.19685039370078741" bottom="0.19685039370078741" header="0" footer="0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Y73"/>
  <sheetViews>
    <sheetView workbookViewId="0">
      <selection activeCell="K23" sqref="K23"/>
    </sheetView>
  </sheetViews>
  <sheetFormatPr baseColWidth="10" defaultRowHeight="12.75" outlineLevelRow="1" outlineLevelCol="1" x14ac:dyDescent="0.2"/>
  <cols>
    <col min="1" max="1" width="4" customWidth="1"/>
    <col min="2" max="2" width="20.7109375" bestFit="1" customWidth="1"/>
    <col min="4" max="4" width="9" customWidth="1"/>
    <col min="5" max="5" width="9.5703125" customWidth="1"/>
    <col min="6" max="6" width="4.85546875" customWidth="1"/>
    <col min="7" max="7" width="3.28515625" customWidth="1"/>
    <col min="8" max="8" width="3.5703125" customWidth="1"/>
    <col min="9" max="9" width="4.42578125" customWidth="1"/>
    <col min="10" max="14" width="3.7109375" customWidth="1"/>
    <col min="15" max="15" width="5.140625" customWidth="1"/>
    <col min="16" max="17" width="4" customWidth="1"/>
    <col min="18" max="18" width="4.7109375" bestFit="1" customWidth="1"/>
    <col min="19" max="19" width="5.7109375" bestFit="1" customWidth="1"/>
    <col min="20" max="20" width="5.7109375" customWidth="1"/>
    <col min="21" max="21" width="5.7109375" bestFit="1" customWidth="1"/>
    <col min="22" max="22" width="5.7109375" customWidth="1"/>
    <col min="23" max="23" width="9.85546875" bestFit="1" customWidth="1"/>
    <col min="24" max="24" width="5.7109375" customWidth="1"/>
    <col min="25" max="25" width="62.85546875" customWidth="1"/>
    <col min="26" max="26" width="5.7109375" customWidth="1"/>
    <col min="27" max="29" width="5.7109375" hidden="1" customWidth="1" outlineLevel="1"/>
    <col min="30" max="30" width="4.140625" hidden="1" customWidth="1" outlineLevel="1"/>
    <col min="31" max="31" width="3.85546875" hidden="1" customWidth="1" outlineLevel="1"/>
    <col min="32" max="35" width="3.7109375" hidden="1" customWidth="1" outlineLevel="1"/>
    <col min="36" max="36" width="5.42578125" hidden="1" customWidth="1" outlineLevel="1"/>
    <col min="37" max="37" width="5.5703125" hidden="1" customWidth="1" outlineLevel="1"/>
    <col min="38" max="38" width="8.42578125" hidden="1" customWidth="1" outlineLevel="1"/>
    <col min="39" max="40" width="3.85546875" hidden="1" customWidth="1" outlineLevel="1"/>
    <col min="41" max="42" width="4.7109375" hidden="1" customWidth="1" outlineLevel="1"/>
    <col min="43" max="43" width="3.28515625" hidden="1" customWidth="1" outlineLevel="1"/>
    <col min="44" max="44" width="3.85546875" hidden="1" customWidth="1" outlineLevel="1"/>
    <col min="45" max="45" width="4.140625" hidden="1" customWidth="1" outlineLevel="1"/>
    <col min="46" max="46" width="6" hidden="1" customWidth="1" outlineLevel="1"/>
    <col min="47" max="47" width="5.5703125" hidden="1" customWidth="1" outlineLevel="1"/>
    <col min="48" max="48" width="8.42578125" hidden="1" customWidth="1" outlineLevel="1"/>
    <col min="49" max="49" width="9.42578125" hidden="1" customWidth="1" outlineLevel="1"/>
    <col min="50" max="50" width="6.5703125" hidden="1" customWidth="1" outlineLevel="1"/>
    <col min="51" max="51" width="11.42578125" collapsed="1"/>
  </cols>
  <sheetData>
    <row r="1" spans="2:50" ht="18.75" customHeight="1" thickBot="1" x14ac:dyDescent="0.25">
      <c r="J1" s="122"/>
      <c r="K1" s="122"/>
      <c r="L1" s="122"/>
      <c r="M1" s="122"/>
      <c r="N1" s="16"/>
      <c r="S1" s="58"/>
      <c r="T1" s="58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</row>
    <row r="2" spans="2:50" ht="33.75" customHeight="1" thickBot="1" x14ac:dyDescent="0.4">
      <c r="B2" s="116" t="s">
        <v>39</v>
      </c>
      <c r="C2" s="167"/>
      <c r="D2" s="167"/>
      <c r="E2" s="117"/>
      <c r="F2" s="19"/>
      <c r="G2" s="168" t="s">
        <v>11</v>
      </c>
      <c r="H2" s="169"/>
      <c r="J2" s="123" t="s">
        <v>9</v>
      </c>
      <c r="K2" s="136"/>
      <c r="L2" s="136"/>
      <c r="M2" s="124"/>
      <c r="N2" s="45"/>
      <c r="O2" s="129" t="s">
        <v>31</v>
      </c>
      <c r="Q2" s="129" t="s">
        <v>40</v>
      </c>
      <c r="R2" s="129" t="s">
        <v>32</v>
      </c>
      <c r="S2" s="58"/>
      <c r="T2" s="58"/>
      <c r="U2" s="129" t="s">
        <v>43</v>
      </c>
      <c r="V2" s="55"/>
      <c r="W2" s="129" t="s">
        <v>51</v>
      </c>
      <c r="X2" s="55"/>
      <c r="Y2" s="143" t="s">
        <v>50</v>
      </c>
      <c r="AA2" s="55"/>
      <c r="AB2" s="129" t="s">
        <v>33</v>
      </c>
      <c r="AC2" s="55"/>
      <c r="AE2" s="128" t="s">
        <v>9</v>
      </c>
      <c r="AF2" s="128"/>
      <c r="AG2" s="128"/>
      <c r="AH2" s="128"/>
      <c r="AI2" s="128"/>
      <c r="AJ2" s="128"/>
      <c r="AK2" s="128"/>
      <c r="AL2" s="128"/>
      <c r="AQ2" s="140" t="s">
        <v>11</v>
      </c>
      <c r="AR2" s="140"/>
      <c r="AS2" s="140"/>
      <c r="AT2" s="140"/>
      <c r="AU2" s="140"/>
      <c r="AV2" s="140"/>
      <c r="AX2" s="61" t="s">
        <v>38</v>
      </c>
    </row>
    <row r="3" spans="2:50" ht="23.25" x14ac:dyDescent="0.35">
      <c r="B3" s="19"/>
      <c r="C3" s="131"/>
      <c r="D3" s="131"/>
      <c r="E3" s="43"/>
      <c r="F3" s="43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0"/>
      <c r="Q3" s="130" t="s">
        <v>32</v>
      </c>
      <c r="R3" s="130" t="s">
        <v>32</v>
      </c>
      <c r="S3" s="59"/>
      <c r="U3" s="130" t="s">
        <v>42</v>
      </c>
      <c r="V3" s="49"/>
      <c r="W3" s="130" t="s">
        <v>51</v>
      </c>
      <c r="X3" s="49"/>
      <c r="Y3" s="144"/>
      <c r="AA3" s="49"/>
      <c r="AB3" s="130" t="s">
        <v>33</v>
      </c>
      <c r="AC3" s="49"/>
      <c r="AE3" s="3">
        <v>0</v>
      </c>
      <c r="AF3" s="3">
        <v>1</v>
      </c>
      <c r="AG3" s="3">
        <v>2</v>
      </c>
      <c r="AH3" s="3">
        <v>3</v>
      </c>
      <c r="AI3" s="42"/>
      <c r="AJ3" s="34" t="s">
        <v>5</v>
      </c>
      <c r="AK3" s="34" t="s">
        <v>3</v>
      </c>
      <c r="AL3" s="34" t="s">
        <v>4</v>
      </c>
      <c r="AQ3" s="3">
        <v>0</v>
      </c>
      <c r="AR3" s="3">
        <v>1</v>
      </c>
      <c r="AT3" s="34" t="s">
        <v>5</v>
      </c>
      <c r="AU3" s="34" t="s">
        <v>3</v>
      </c>
      <c r="AV3" s="34" t="s">
        <v>4</v>
      </c>
      <c r="AX3" s="34" t="s">
        <v>41</v>
      </c>
    </row>
    <row r="4" spans="2:50" ht="12.75" customHeight="1" x14ac:dyDescent="0.2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P4" s="26"/>
      <c r="R4" s="1"/>
      <c r="S4" s="59"/>
      <c r="T4" s="59"/>
      <c r="AA4" s="1"/>
      <c r="AB4" s="1"/>
      <c r="AC4" s="1"/>
    </row>
    <row r="5" spans="2:50" x14ac:dyDescent="0.2">
      <c r="B5" s="133" t="s">
        <v>12</v>
      </c>
      <c r="C5" s="5" t="s">
        <v>1</v>
      </c>
      <c r="D5" s="6"/>
      <c r="E5" s="7"/>
      <c r="F5" s="13"/>
      <c r="G5" s="56" t="s">
        <v>30</v>
      </c>
      <c r="H5" s="56"/>
      <c r="J5" s="22" t="s">
        <v>30</v>
      </c>
      <c r="K5" s="22"/>
      <c r="L5" s="22"/>
      <c r="M5" s="22"/>
      <c r="N5" s="46"/>
      <c r="O5" s="20">
        <v>2</v>
      </c>
      <c r="P5" s="91"/>
      <c r="Q5" s="2">
        <v>1</v>
      </c>
      <c r="R5" s="2">
        <v>1</v>
      </c>
      <c r="S5" s="59" t="str">
        <f>IF(AND(Q5=1,R5=0),"Bonus","")</f>
        <v/>
      </c>
      <c r="T5" s="59"/>
      <c r="U5" s="65">
        <f>AX5</f>
        <v>0</v>
      </c>
      <c r="V5" s="66"/>
      <c r="W5" s="65">
        <f>IF(Q5=1,U5-ByStudent!U5,"")</f>
        <v>0</v>
      </c>
      <c r="X5" s="66"/>
      <c r="Y5" s="78"/>
      <c r="AA5" s="16"/>
      <c r="AB5" s="2">
        <f>Q5*R5*O5</f>
        <v>2</v>
      </c>
      <c r="AC5" s="16"/>
      <c r="AE5" s="2">
        <f t="shared" ref="AE5:AE23" si="0">IF(J5="x",AE$3,"")</f>
        <v>0</v>
      </c>
      <c r="AF5" s="2" t="str">
        <f t="shared" ref="AF5:AF23" si="1">IF(K5="x",AF$3,"")</f>
        <v/>
      </c>
      <c r="AG5" s="2" t="str">
        <f t="shared" ref="AG5:AG23" si="2">IF(L5="x",AG$3,"")</f>
        <v/>
      </c>
      <c r="AH5" s="2" t="str">
        <f t="shared" ref="AH5:AH23" si="3">IF(M5="x",AH$3,"")</f>
        <v/>
      </c>
      <c r="AI5" s="16"/>
      <c r="AJ5" s="2">
        <f>COUNTIF(J5:M5,"=x")</f>
        <v>1</v>
      </c>
      <c r="AK5" s="2">
        <f>IF(AJ5&gt;0,AVERAGE(AE5:AH5),"")</f>
        <v>0</v>
      </c>
      <c r="AL5" s="2">
        <f t="shared" ref="AL5:AL23" si="4">IF(AND(AJ5&gt;0,Q5=1),AK5*O5,"")</f>
        <v>0</v>
      </c>
      <c r="AQ5" s="2">
        <f t="shared" ref="AQ5:AQ20" si="5">IF(G5="x",AQ$3,"")</f>
        <v>0</v>
      </c>
      <c r="AR5" s="2" t="str">
        <f t="shared" ref="AR5:AR20" si="6">IF(H5="x",AR$3,"")</f>
        <v/>
      </c>
      <c r="AS5" s="1"/>
      <c r="AT5" s="2">
        <f>COUNTIF(G5:H5,"=x")</f>
        <v>1</v>
      </c>
      <c r="AU5" s="2">
        <f>IF(AT5&gt;0,AVERAGE(AQ5:AR5),"")</f>
        <v>0</v>
      </c>
      <c r="AV5" s="2">
        <f t="shared" ref="AV5:AV12" si="7">IF(AND(AT5&gt;0,Q5=1),AU5*O5,"")</f>
        <v>0</v>
      </c>
      <c r="AX5" s="65">
        <f>MAX(AL5,AV5)</f>
        <v>0</v>
      </c>
    </row>
    <row r="6" spans="2:50" x14ac:dyDescent="0.2">
      <c r="B6" s="134"/>
      <c r="C6" s="12" t="s">
        <v>13</v>
      </c>
      <c r="D6" s="13"/>
      <c r="E6" s="14"/>
      <c r="F6" s="13"/>
      <c r="G6" s="56" t="s">
        <v>30</v>
      </c>
      <c r="H6" s="56"/>
      <c r="J6" s="22" t="s">
        <v>30</v>
      </c>
      <c r="K6" s="22"/>
      <c r="L6" s="22"/>
      <c r="M6" s="22"/>
      <c r="N6" s="46"/>
      <c r="O6" s="20">
        <v>4</v>
      </c>
      <c r="P6" s="91"/>
      <c r="Q6" s="2">
        <v>1</v>
      </c>
      <c r="R6" s="2">
        <v>1</v>
      </c>
      <c r="S6" s="59" t="str">
        <f t="shared" ref="S6:S35" si="8">IF(AND(Q6=1,R6=0),"Bonus","")</f>
        <v/>
      </c>
      <c r="T6" s="59"/>
      <c r="U6" s="65">
        <f t="shared" ref="U6:U35" si="9">AX6</f>
        <v>0</v>
      </c>
      <c r="V6" s="66"/>
      <c r="W6" s="65">
        <f>IF(Q6=1,U6-ByStudent!U6,"")</f>
        <v>0</v>
      </c>
      <c r="X6" s="66"/>
      <c r="Y6" s="78"/>
      <c r="AA6" s="16"/>
      <c r="AB6" s="2">
        <f>Q6*R6*O6</f>
        <v>4</v>
      </c>
      <c r="AC6" s="16"/>
      <c r="AE6" s="2">
        <f t="shared" si="0"/>
        <v>0</v>
      </c>
      <c r="AF6" s="2" t="str">
        <f t="shared" si="1"/>
        <v/>
      </c>
      <c r="AG6" s="2" t="str">
        <f t="shared" si="2"/>
        <v/>
      </c>
      <c r="AH6" s="2" t="str">
        <f t="shared" si="3"/>
        <v/>
      </c>
      <c r="AI6" s="16"/>
      <c r="AJ6" s="2">
        <f>COUNTIF(J6:M6,"=x")</f>
        <v>1</v>
      </c>
      <c r="AK6" s="2">
        <f>IF(AJ6&gt;0,AVERAGE(AE6:AH6),"")</f>
        <v>0</v>
      </c>
      <c r="AL6" s="2">
        <f t="shared" si="4"/>
        <v>0</v>
      </c>
      <c r="AQ6" s="2">
        <f t="shared" si="5"/>
        <v>0</v>
      </c>
      <c r="AR6" s="2" t="str">
        <f t="shared" si="6"/>
        <v/>
      </c>
      <c r="AS6" s="1"/>
      <c r="AT6" s="2">
        <f>COUNTIF(G6:H6,"=x")</f>
        <v>1</v>
      </c>
      <c r="AU6" s="2">
        <f t="shared" ref="AU6:AU34" si="10">IF(AT6&gt;0,AVERAGE(AQ6:AR6),"")</f>
        <v>0</v>
      </c>
      <c r="AV6" s="2">
        <f t="shared" si="7"/>
        <v>0</v>
      </c>
      <c r="AX6" s="65">
        <f t="shared" ref="AX6:AX18" si="11">MAX(AL6,AV6)</f>
        <v>0</v>
      </c>
    </row>
    <row r="7" spans="2:50" x14ac:dyDescent="0.2">
      <c r="B7" s="135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P7" s="91"/>
      <c r="Q7" s="2">
        <v>1</v>
      </c>
      <c r="R7" s="2">
        <v>0</v>
      </c>
      <c r="S7" s="59" t="str">
        <f t="shared" si="8"/>
        <v>Bonus</v>
      </c>
      <c r="T7" s="59"/>
      <c r="U7" s="65">
        <f t="shared" si="9"/>
        <v>0</v>
      </c>
      <c r="V7" s="66"/>
      <c r="W7" s="65">
        <f>IF(Q7=1,U7-ByStudent!U7,"")</f>
        <v>0</v>
      </c>
      <c r="X7" s="66"/>
      <c r="Y7" s="78"/>
      <c r="AA7" s="16"/>
      <c r="AB7" s="2">
        <f>Q7*R7*O7</f>
        <v>0</v>
      </c>
      <c r="AC7" s="16"/>
      <c r="AE7" s="2">
        <f t="shared" si="0"/>
        <v>0</v>
      </c>
      <c r="AF7" s="2" t="str">
        <f t="shared" si="1"/>
        <v/>
      </c>
      <c r="AG7" s="2" t="str">
        <f t="shared" si="2"/>
        <v/>
      </c>
      <c r="AH7" s="2" t="str">
        <f t="shared" si="3"/>
        <v/>
      </c>
      <c r="AI7" s="16"/>
      <c r="AJ7" s="2">
        <f>COUNTIF(J7:M7,"=x")</f>
        <v>1</v>
      </c>
      <c r="AK7" s="2">
        <f>IF(AJ7&gt;0,AVERAGE(AE7:AH7),"")</f>
        <v>0</v>
      </c>
      <c r="AL7" s="2">
        <f t="shared" si="4"/>
        <v>0</v>
      </c>
      <c r="AQ7" s="2">
        <f t="shared" si="5"/>
        <v>0</v>
      </c>
      <c r="AR7" s="2" t="str">
        <f t="shared" si="6"/>
        <v/>
      </c>
      <c r="AS7" s="1"/>
      <c r="AT7" s="2">
        <f>COUNTIF(G7:H7,"=x")</f>
        <v>1</v>
      </c>
      <c r="AU7" s="2">
        <f t="shared" si="10"/>
        <v>0</v>
      </c>
      <c r="AV7" s="2">
        <f t="shared" si="7"/>
        <v>0</v>
      </c>
      <c r="AX7" s="65">
        <f t="shared" si="11"/>
        <v>0</v>
      </c>
    </row>
    <row r="8" spans="2:50" x14ac:dyDescent="0.2">
      <c r="G8" s="1"/>
      <c r="H8" s="1"/>
      <c r="N8" s="38"/>
      <c r="P8" s="26"/>
      <c r="Q8" s="1"/>
      <c r="R8" s="1"/>
      <c r="S8" s="59" t="str">
        <f t="shared" si="8"/>
        <v/>
      </c>
      <c r="T8" s="59"/>
      <c r="U8" s="24"/>
      <c r="V8" s="24"/>
      <c r="W8" s="66"/>
      <c r="X8" s="24"/>
      <c r="Y8" s="79"/>
      <c r="AA8" s="1"/>
      <c r="AB8" s="16"/>
      <c r="AC8" s="1"/>
      <c r="AD8" s="25"/>
      <c r="AE8" s="16" t="str">
        <f t="shared" si="0"/>
        <v/>
      </c>
      <c r="AF8" s="16" t="str">
        <f t="shared" si="1"/>
        <v/>
      </c>
      <c r="AG8" s="16" t="str">
        <f t="shared" si="2"/>
        <v/>
      </c>
      <c r="AH8" s="16" t="str">
        <f t="shared" si="3"/>
        <v/>
      </c>
      <c r="AI8" s="16"/>
      <c r="AJ8" s="16"/>
      <c r="AK8" s="16" t="str">
        <f t="shared" ref="AK8:AK34" si="12">IF(AJ8&gt;0,AVERAGE(AE8:AH8),"")</f>
        <v/>
      </c>
      <c r="AL8" s="16" t="str">
        <f t="shared" si="4"/>
        <v/>
      </c>
      <c r="AQ8" s="1" t="str">
        <f t="shared" si="5"/>
        <v/>
      </c>
      <c r="AR8" s="1" t="str">
        <f t="shared" si="6"/>
        <v/>
      </c>
      <c r="AS8" s="1"/>
      <c r="AT8" s="1"/>
      <c r="AU8" s="1" t="str">
        <f t="shared" si="10"/>
        <v/>
      </c>
      <c r="AV8" s="16" t="str">
        <f t="shared" si="7"/>
        <v/>
      </c>
      <c r="AX8" s="66"/>
    </row>
    <row r="9" spans="2:50" x14ac:dyDescent="0.2">
      <c r="G9" s="1"/>
      <c r="H9" s="1"/>
      <c r="N9" s="38"/>
      <c r="P9" s="26"/>
      <c r="Q9" s="1"/>
      <c r="R9" s="1"/>
      <c r="S9" s="59" t="str">
        <f t="shared" si="8"/>
        <v/>
      </c>
      <c r="T9" s="59"/>
      <c r="U9" s="24"/>
      <c r="V9" s="24"/>
      <c r="W9" s="66"/>
      <c r="X9" s="24"/>
      <c r="Y9" s="79"/>
      <c r="AA9" s="1"/>
      <c r="AB9" s="16"/>
      <c r="AC9" s="1"/>
      <c r="AD9" s="25"/>
      <c r="AE9" s="16" t="str">
        <f t="shared" si="0"/>
        <v/>
      </c>
      <c r="AF9" s="16" t="str">
        <f t="shared" si="1"/>
        <v/>
      </c>
      <c r="AG9" s="16" t="str">
        <f t="shared" si="2"/>
        <v/>
      </c>
      <c r="AH9" s="16" t="str">
        <f t="shared" si="3"/>
        <v/>
      </c>
      <c r="AI9" s="16"/>
      <c r="AJ9" s="16"/>
      <c r="AK9" s="16" t="str">
        <f t="shared" si="12"/>
        <v/>
      </c>
      <c r="AL9" s="16" t="str">
        <f t="shared" si="4"/>
        <v/>
      </c>
      <c r="AQ9" s="1" t="str">
        <f t="shared" si="5"/>
        <v/>
      </c>
      <c r="AR9" s="1" t="str">
        <f t="shared" si="6"/>
        <v/>
      </c>
      <c r="AS9" s="1"/>
      <c r="AT9" s="1"/>
      <c r="AU9" s="1" t="str">
        <f t="shared" si="10"/>
        <v/>
      </c>
      <c r="AV9" s="16" t="str">
        <f t="shared" si="7"/>
        <v/>
      </c>
      <c r="AX9" s="66"/>
    </row>
    <row r="10" spans="2:50" x14ac:dyDescent="0.2">
      <c r="B10" s="137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 t="s">
        <v>30</v>
      </c>
      <c r="K10" s="18"/>
      <c r="L10" s="22"/>
      <c r="M10" s="22"/>
      <c r="N10" s="46"/>
      <c r="O10" s="20">
        <v>4</v>
      </c>
      <c r="P10" s="91"/>
      <c r="Q10" s="2">
        <v>1</v>
      </c>
      <c r="R10" s="2">
        <v>1</v>
      </c>
      <c r="S10" s="59" t="str">
        <f t="shared" si="8"/>
        <v/>
      </c>
      <c r="T10" s="59"/>
      <c r="U10" s="65">
        <f t="shared" si="9"/>
        <v>0</v>
      </c>
      <c r="V10" s="66"/>
      <c r="W10" s="65">
        <f>IF(Q10=1,U10-ByStudent!U10,"")</f>
        <v>0</v>
      </c>
      <c r="X10" s="66"/>
      <c r="Y10" s="78"/>
      <c r="AA10" s="16"/>
      <c r="AB10" s="2">
        <f>Q10*R10*O10</f>
        <v>4</v>
      </c>
      <c r="AC10" s="16"/>
      <c r="AE10" s="2">
        <f t="shared" si="0"/>
        <v>0</v>
      </c>
      <c r="AF10" s="2" t="str">
        <f t="shared" si="1"/>
        <v/>
      </c>
      <c r="AG10" s="2" t="str">
        <f t="shared" si="2"/>
        <v/>
      </c>
      <c r="AH10" s="2" t="str">
        <f t="shared" si="3"/>
        <v/>
      </c>
      <c r="AI10" s="16"/>
      <c r="AJ10" s="2">
        <f>COUNTIF(J10:M10,"=x")</f>
        <v>1</v>
      </c>
      <c r="AK10" s="2">
        <f t="shared" si="12"/>
        <v>0</v>
      </c>
      <c r="AL10" s="2">
        <f t="shared" si="4"/>
        <v>0</v>
      </c>
      <c r="AQ10" s="2">
        <f t="shared" si="5"/>
        <v>0</v>
      </c>
      <c r="AR10" s="2" t="str">
        <f t="shared" si="6"/>
        <v/>
      </c>
      <c r="AS10" s="1"/>
      <c r="AT10" s="2">
        <f>COUNTIF(G10:H10,"=x")</f>
        <v>1</v>
      </c>
      <c r="AU10" s="2">
        <f t="shared" si="10"/>
        <v>0</v>
      </c>
      <c r="AV10" s="2">
        <f t="shared" si="7"/>
        <v>0</v>
      </c>
      <c r="AX10" s="65">
        <f t="shared" si="11"/>
        <v>0</v>
      </c>
    </row>
    <row r="11" spans="2:50" x14ac:dyDescent="0.2">
      <c r="B11" s="138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P11" s="91"/>
      <c r="Q11" s="2">
        <v>1</v>
      </c>
      <c r="R11" s="2">
        <v>0</v>
      </c>
      <c r="S11" s="59" t="str">
        <f t="shared" si="8"/>
        <v>Bonus</v>
      </c>
      <c r="T11" s="59"/>
      <c r="U11" s="65">
        <f t="shared" si="9"/>
        <v>0</v>
      </c>
      <c r="V11" s="66"/>
      <c r="W11" s="65">
        <f>IF(Q11=1,U11-ByStudent!U11,"")</f>
        <v>0</v>
      </c>
      <c r="X11" s="66"/>
      <c r="Y11" s="78"/>
      <c r="AA11" s="16"/>
      <c r="AB11" s="2">
        <f>Q11*R11*O11</f>
        <v>0</v>
      </c>
      <c r="AC11" s="16"/>
      <c r="AE11" s="2">
        <f t="shared" si="0"/>
        <v>0</v>
      </c>
      <c r="AF11" s="2" t="str">
        <f t="shared" si="1"/>
        <v/>
      </c>
      <c r="AG11" s="2" t="str">
        <f t="shared" si="2"/>
        <v/>
      </c>
      <c r="AH11" s="2" t="str">
        <f t="shared" si="3"/>
        <v/>
      </c>
      <c r="AI11" s="16"/>
      <c r="AJ11" s="2">
        <f>COUNTIF(J11:M11,"=x")</f>
        <v>1</v>
      </c>
      <c r="AK11" s="2">
        <f t="shared" si="12"/>
        <v>0</v>
      </c>
      <c r="AL11" s="2">
        <f t="shared" si="4"/>
        <v>0</v>
      </c>
      <c r="AQ11" s="2">
        <f t="shared" si="5"/>
        <v>0</v>
      </c>
      <c r="AR11" s="2" t="str">
        <f t="shared" si="6"/>
        <v/>
      </c>
      <c r="AS11" s="1"/>
      <c r="AT11" s="2">
        <f>COUNTIF(G11:H11,"=x")</f>
        <v>1</v>
      </c>
      <c r="AU11" s="2">
        <f t="shared" si="10"/>
        <v>0</v>
      </c>
      <c r="AV11" s="2">
        <f t="shared" si="7"/>
        <v>0</v>
      </c>
      <c r="AX11" s="65">
        <f t="shared" si="11"/>
        <v>0</v>
      </c>
    </row>
    <row r="12" spans="2:50" x14ac:dyDescent="0.2">
      <c r="B12" s="139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P12" s="91"/>
      <c r="Q12" s="2">
        <v>1</v>
      </c>
      <c r="R12" s="2">
        <v>0</v>
      </c>
      <c r="S12" s="59" t="str">
        <f t="shared" si="8"/>
        <v>Bonus</v>
      </c>
      <c r="T12" s="59"/>
      <c r="U12" s="65">
        <f t="shared" si="9"/>
        <v>0</v>
      </c>
      <c r="V12" s="66"/>
      <c r="W12" s="65">
        <f>IF(Q12=1,U12-ByStudent!U12,"")</f>
        <v>0</v>
      </c>
      <c r="X12" s="66"/>
      <c r="Y12" s="78"/>
      <c r="AA12" s="16"/>
      <c r="AB12" s="2">
        <f>Q12*R12*O12</f>
        <v>0</v>
      </c>
      <c r="AC12" s="16"/>
      <c r="AE12" s="2">
        <f t="shared" si="0"/>
        <v>0</v>
      </c>
      <c r="AF12" s="2" t="str">
        <f t="shared" si="1"/>
        <v/>
      </c>
      <c r="AG12" s="2" t="str">
        <f t="shared" si="2"/>
        <v/>
      </c>
      <c r="AH12" s="2" t="str">
        <f t="shared" si="3"/>
        <v/>
      </c>
      <c r="AI12" s="16"/>
      <c r="AJ12" s="2">
        <f>COUNTIF(J12:M12,"=x")</f>
        <v>1</v>
      </c>
      <c r="AK12" s="2">
        <f t="shared" si="12"/>
        <v>0</v>
      </c>
      <c r="AL12" s="2">
        <f t="shared" si="4"/>
        <v>0</v>
      </c>
      <c r="AQ12" s="2">
        <f t="shared" si="5"/>
        <v>0</v>
      </c>
      <c r="AR12" s="2" t="str">
        <f t="shared" si="6"/>
        <v/>
      </c>
      <c r="AS12" s="1"/>
      <c r="AT12" s="2">
        <f>COUNTIF(G12:H12,"=x")</f>
        <v>1</v>
      </c>
      <c r="AU12" s="2">
        <f t="shared" si="10"/>
        <v>0</v>
      </c>
      <c r="AV12" s="2">
        <f t="shared" si="7"/>
        <v>0</v>
      </c>
      <c r="AX12" s="65">
        <f t="shared" si="11"/>
        <v>0</v>
      </c>
    </row>
    <row r="13" spans="2:50" x14ac:dyDescent="0.2">
      <c r="G13" s="1"/>
      <c r="H13" s="1"/>
      <c r="N13" s="38"/>
      <c r="P13" s="26"/>
      <c r="Q13" s="1"/>
      <c r="R13" s="1"/>
      <c r="S13" s="59" t="str">
        <f t="shared" si="8"/>
        <v/>
      </c>
      <c r="T13" s="59"/>
      <c r="U13" s="24"/>
      <c r="V13" s="24"/>
      <c r="W13" s="66"/>
      <c r="X13" s="24"/>
      <c r="Y13" s="79"/>
      <c r="AA13" s="1"/>
      <c r="AB13" s="16"/>
      <c r="AC13" s="1"/>
      <c r="AD13" s="25"/>
      <c r="AE13" s="16" t="str">
        <f t="shared" si="0"/>
        <v/>
      </c>
      <c r="AF13" s="16" t="str">
        <f t="shared" si="1"/>
        <v/>
      </c>
      <c r="AG13" s="16" t="str">
        <f t="shared" si="2"/>
        <v/>
      </c>
      <c r="AH13" s="16" t="str">
        <f t="shared" si="3"/>
        <v/>
      </c>
      <c r="AI13" s="16"/>
      <c r="AJ13" s="16"/>
      <c r="AK13" s="16" t="str">
        <f t="shared" si="12"/>
        <v/>
      </c>
      <c r="AL13" s="16" t="str">
        <f t="shared" si="4"/>
        <v/>
      </c>
      <c r="AQ13" s="1" t="str">
        <f t="shared" si="5"/>
        <v/>
      </c>
      <c r="AR13" s="1" t="str">
        <f t="shared" si="6"/>
        <v/>
      </c>
      <c r="AS13" s="1"/>
      <c r="AT13" s="1"/>
      <c r="AU13" s="1" t="str">
        <f t="shared" si="10"/>
        <v/>
      </c>
      <c r="AV13" s="16"/>
      <c r="AX13" s="66"/>
    </row>
    <row r="14" spans="2:50" x14ac:dyDescent="0.2">
      <c r="G14" s="1"/>
      <c r="H14" s="1"/>
      <c r="N14" s="38"/>
      <c r="P14" s="26"/>
      <c r="Q14" s="1"/>
      <c r="R14" s="1"/>
      <c r="S14" s="59" t="str">
        <f t="shared" si="8"/>
        <v/>
      </c>
      <c r="T14" s="59"/>
      <c r="U14" s="24"/>
      <c r="V14" s="24"/>
      <c r="W14" s="66"/>
      <c r="X14" s="24"/>
      <c r="Y14" s="79"/>
      <c r="AA14" s="1"/>
      <c r="AB14" s="16"/>
      <c r="AC14" s="1"/>
      <c r="AD14" s="25"/>
      <c r="AE14" s="16" t="str">
        <f t="shared" si="0"/>
        <v/>
      </c>
      <c r="AF14" s="16" t="str">
        <f t="shared" si="1"/>
        <v/>
      </c>
      <c r="AG14" s="16" t="str">
        <f t="shared" si="2"/>
        <v/>
      </c>
      <c r="AH14" s="16" t="str">
        <f t="shared" si="3"/>
        <v/>
      </c>
      <c r="AI14" s="16"/>
      <c r="AJ14" s="16"/>
      <c r="AK14" s="16" t="str">
        <f t="shared" si="12"/>
        <v/>
      </c>
      <c r="AL14" s="16" t="str">
        <f t="shared" si="4"/>
        <v/>
      </c>
      <c r="AQ14" s="1" t="str">
        <f t="shared" si="5"/>
        <v/>
      </c>
      <c r="AR14" s="1" t="str">
        <f t="shared" si="6"/>
        <v/>
      </c>
      <c r="AS14" s="1"/>
      <c r="AT14" s="1"/>
      <c r="AU14" s="1" t="str">
        <f t="shared" si="10"/>
        <v/>
      </c>
      <c r="AV14" s="16"/>
      <c r="AX14" s="66"/>
    </row>
    <row r="15" spans="2:50" x14ac:dyDescent="0.2">
      <c r="B15" s="137" t="s">
        <v>17</v>
      </c>
      <c r="C15" s="5" t="s">
        <v>20</v>
      </c>
      <c r="D15" s="6"/>
      <c r="E15" s="7"/>
      <c r="F15" s="13"/>
      <c r="G15" s="56" t="s">
        <v>30</v>
      </c>
      <c r="H15" s="56"/>
      <c r="J15" s="22" t="s">
        <v>30</v>
      </c>
      <c r="K15" s="18"/>
      <c r="L15" s="22"/>
      <c r="M15" s="22"/>
      <c r="N15" s="46"/>
      <c r="O15" s="20">
        <v>4</v>
      </c>
      <c r="P15" s="91"/>
      <c r="Q15" s="2">
        <v>1</v>
      </c>
      <c r="R15" s="2">
        <v>1</v>
      </c>
      <c r="S15" s="59" t="str">
        <f t="shared" si="8"/>
        <v/>
      </c>
      <c r="T15" s="59"/>
      <c r="U15" s="65">
        <f t="shared" si="9"/>
        <v>0</v>
      </c>
      <c r="V15" s="66"/>
      <c r="W15" s="65">
        <f>IF(Q15=1,U15-ByStudent!U15,"")</f>
        <v>0</v>
      </c>
      <c r="X15" s="66"/>
      <c r="Y15" s="78"/>
      <c r="AA15" s="16"/>
      <c r="AB15" s="2">
        <f>Q15*R15*O15</f>
        <v>4</v>
      </c>
      <c r="AC15" s="16"/>
      <c r="AE15" s="2">
        <f t="shared" si="0"/>
        <v>0</v>
      </c>
      <c r="AF15" s="2" t="str">
        <f t="shared" si="1"/>
        <v/>
      </c>
      <c r="AG15" s="2" t="str">
        <f t="shared" si="2"/>
        <v/>
      </c>
      <c r="AH15" s="2" t="str">
        <f t="shared" si="3"/>
        <v/>
      </c>
      <c r="AI15" s="16"/>
      <c r="AJ15" s="2">
        <f>COUNTIF(J15:M15,"=x")</f>
        <v>1</v>
      </c>
      <c r="AK15" s="2">
        <f t="shared" si="12"/>
        <v>0</v>
      </c>
      <c r="AL15" s="2">
        <f t="shared" si="4"/>
        <v>0</v>
      </c>
      <c r="AQ15" s="2">
        <f t="shared" si="5"/>
        <v>0</v>
      </c>
      <c r="AR15" s="2" t="str">
        <f t="shared" si="6"/>
        <v/>
      </c>
      <c r="AS15" s="1"/>
      <c r="AT15" s="2">
        <f>COUNTIF(G15:H15,"=x")</f>
        <v>1</v>
      </c>
      <c r="AU15" s="2">
        <f t="shared" si="10"/>
        <v>0</v>
      </c>
      <c r="AV15" s="2">
        <f>IF(AND(AT15&gt;0,Q15=1),AU15*O15,"")</f>
        <v>0</v>
      </c>
      <c r="AX15" s="65">
        <f t="shared" si="11"/>
        <v>0</v>
      </c>
    </row>
    <row r="16" spans="2:50" x14ac:dyDescent="0.2">
      <c r="B16" s="170"/>
      <c r="C16" s="12" t="s">
        <v>8</v>
      </c>
      <c r="D16" s="13"/>
      <c r="E16" s="14"/>
      <c r="F16" s="13"/>
      <c r="G16" s="56" t="s">
        <v>30</v>
      </c>
      <c r="H16" s="56"/>
      <c r="J16" s="22" t="s">
        <v>30</v>
      </c>
      <c r="K16" s="22"/>
      <c r="L16" s="22"/>
      <c r="M16" s="22"/>
      <c r="N16" s="46"/>
      <c r="O16" s="20">
        <v>4</v>
      </c>
      <c r="P16" s="91"/>
      <c r="Q16" s="2">
        <v>1</v>
      </c>
      <c r="R16" s="2">
        <v>1</v>
      </c>
      <c r="S16" s="59" t="str">
        <f t="shared" si="8"/>
        <v/>
      </c>
      <c r="T16" s="59"/>
      <c r="U16" s="65">
        <f t="shared" si="9"/>
        <v>0</v>
      </c>
      <c r="V16" s="66"/>
      <c r="W16" s="65">
        <f>IF(Q16=1,U16-ByStudent!U16,"")</f>
        <v>0</v>
      </c>
      <c r="X16" s="66"/>
      <c r="Y16" s="78"/>
      <c r="AA16" s="16"/>
      <c r="AB16" s="2">
        <f>Q16*R16*O16</f>
        <v>4</v>
      </c>
      <c r="AC16" s="16"/>
      <c r="AE16" s="2">
        <f t="shared" si="0"/>
        <v>0</v>
      </c>
      <c r="AF16" s="2" t="str">
        <f t="shared" si="1"/>
        <v/>
      </c>
      <c r="AG16" s="2" t="str">
        <f t="shared" si="2"/>
        <v/>
      </c>
      <c r="AH16" s="2" t="str">
        <f t="shared" si="3"/>
        <v/>
      </c>
      <c r="AI16" s="16"/>
      <c r="AJ16" s="2">
        <f>COUNTIF(J16:M16,"=x")</f>
        <v>1</v>
      </c>
      <c r="AK16" s="2">
        <f t="shared" si="12"/>
        <v>0</v>
      </c>
      <c r="AL16" s="2">
        <f t="shared" si="4"/>
        <v>0</v>
      </c>
      <c r="AQ16" s="2">
        <f t="shared" si="5"/>
        <v>0</v>
      </c>
      <c r="AR16" s="2" t="str">
        <f t="shared" si="6"/>
        <v/>
      </c>
      <c r="AS16" s="1"/>
      <c r="AT16" s="2">
        <f>COUNTIF(G16:H16,"=x")</f>
        <v>1</v>
      </c>
      <c r="AU16" s="2">
        <f t="shared" si="10"/>
        <v>0</v>
      </c>
      <c r="AV16" s="2">
        <f>IF(AND(AT16&gt;0,Q16=1),AU16*O16,"")</f>
        <v>0</v>
      </c>
      <c r="AX16" s="65">
        <f t="shared" si="11"/>
        <v>0</v>
      </c>
    </row>
    <row r="17" spans="2:50" x14ac:dyDescent="0.2">
      <c r="B17" s="170"/>
      <c r="C17" s="12" t="s">
        <v>18</v>
      </c>
      <c r="D17" s="13"/>
      <c r="E17" s="14"/>
      <c r="F17" s="13"/>
      <c r="G17" s="56" t="s">
        <v>30</v>
      </c>
      <c r="H17" s="56"/>
      <c r="J17" s="22" t="s">
        <v>30</v>
      </c>
      <c r="K17" s="18"/>
      <c r="L17" s="22"/>
      <c r="M17" s="22"/>
      <c r="N17" s="46"/>
      <c r="O17" s="20">
        <v>4</v>
      </c>
      <c r="P17" s="91"/>
      <c r="Q17" s="2">
        <v>1</v>
      </c>
      <c r="R17" s="2">
        <v>0</v>
      </c>
      <c r="S17" s="59" t="str">
        <f t="shared" si="8"/>
        <v>Bonus</v>
      </c>
      <c r="T17" s="59"/>
      <c r="U17" s="65">
        <f t="shared" si="9"/>
        <v>0</v>
      </c>
      <c r="V17" s="66"/>
      <c r="W17" s="65">
        <f>IF(Q17=1,U17-ByStudent!U17,"")</f>
        <v>0</v>
      </c>
      <c r="X17" s="66"/>
      <c r="Y17" s="78"/>
      <c r="AA17" s="16"/>
      <c r="AB17" s="2">
        <f>Q17*R17*O17</f>
        <v>0</v>
      </c>
      <c r="AC17" s="16"/>
      <c r="AE17" s="2">
        <f t="shared" si="0"/>
        <v>0</v>
      </c>
      <c r="AF17" s="2" t="str">
        <f t="shared" si="1"/>
        <v/>
      </c>
      <c r="AG17" s="2" t="str">
        <f t="shared" si="2"/>
        <v/>
      </c>
      <c r="AH17" s="2" t="str">
        <f t="shared" si="3"/>
        <v/>
      </c>
      <c r="AI17" s="16"/>
      <c r="AJ17" s="2">
        <f>COUNTIF(J17:M17,"=x")</f>
        <v>1</v>
      </c>
      <c r="AK17" s="2">
        <f t="shared" si="12"/>
        <v>0</v>
      </c>
      <c r="AL17" s="2">
        <f t="shared" si="4"/>
        <v>0</v>
      </c>
      <c r="AQ17" s="2">
        <f t="shared" si="5"/>
        <v>0</v>
      </c>
      <c r="AR17" s="2" t="str">
        <f t="shared" si="6"/>
        <v/>
      </c>
      <c r="AS17" s="1"/>
      <c r="AT17" s="2">
        <f>COUNTIF(G17:H17,"=x")</f>
        <v>1</v>
      </c>
      <c r="AU17" s="2">
        <f t="shared" si="10"/>
        <v>0</v>
      </c>
      <c r="AV17" s="2">
        <f>IF(AND(AT17&gt;0,Q17=1),AU17*O17,"")</f>
        <v>0</v>
      </c>
      <c r="AX17" s="65">
        <f t="shared" si="11"/>
        <v>0</v>
      </c>
    </row>
    <row r="18" spans="2:50" x14ac:dyDescent="0.2">
      <c r="B18" s="163"/>
      <c r="C18" s="8" t="s">
        <v>19</v>
      </c>
      <c r="D18" s="39"/>
      <c r="E18" s="10"/>
      <c r="F18" s="13"/>
      <c r="G18" s="56" t="s">
        <v>30</v>
      </c>
      <c r="H18" s="56"/>
      <c r="J18" s="22" t="s">
        <v>30</v>
      </c>
      <c r="K18" s="18"/>
      <c r="L18" s="22"/>
      <c r="M18" s="22"/>
      <c r="N18" s="46"/>
      <c r="O18" s="20">
        <v>4</v>
      </c>
      <c r="P18" s="91"/>
      <c r="Q18" s="2">
        <v>1</v>
      </c>
      <c r="R18" s="2">
        <v>0</v>
      </c>
      <c r="S18" s="59" t="str">
        <f t="shared" si="8"/>
        <v>Bonus</v>
      </c>
      <c r="T18" s="59"/>
      <c r="U18" s="65">
        <f t="shared" si="9"/>
        <v>0</v>
      </c>
      <c r="V18" s="66"/>
      <c r="W18" s="65">
        <f>IF(Q18=1,U18-ByStudent!U18,"")</f>
        <v>0</v>
      </c>
      <c r="X18" s="66"/>
      <c r="Y18" s="78"/>
      <c r="AA18" s="16"/>
      <c r="AB18" s="2">
        <f>Q18*R18*O18</f>
        <v>0</v>
      </c>
      <c r="AC18" s="16"/>
      <c r="AE18" s="2">
        <f t="shared" si="0"/>
        <v>0</v>
      </c>
      <c r="AF18" s="2" t="str">
        <f t="shared" si="1"/>
        <v/>
      </c>
      <c r="AG18" s="2" t="str">
        <f t="shared" si="2"/>
        <v/>
      </c>
      <c r="AH18" s="2" t="str">
        <f t="shared" si="3"/>
        <v/>
      </c>
      <c r="AI18" s="16"/>
      <c r="AJ18" s="2">
        <f>COUNTIF(J18:M18,"=x")</f>
        <v>1</v>
      </c>
      <c r="AK18" s="2">
        <f t="shared" si="12"/>
        <v>0</v>
      </c>
      <c r="AL18" s="2">
        <f t="shared" si="4"/>
        <v>0</v>
      </c>
      <c r="AQ18" s="2">
        <f t="shared" si="5"/>
        <v>0</v>
      </c>
      <c r="AR18" s="2" t="str">
        <f t="shared" si="6"/>
        <v/>
      </c>
      <c r="AS18" s="1"/>
      <c r="AT18" s="2">
        <f>COUNTIF(G18:H18,"=x")</f>
        <v>1</v>
      </c>
      <c r="AU18" s="2">
        <f t="shared" si="10"/>
        <v>0</v>
      </c>
      <c r="AV18" s="2">
        <f>IF(AND(AT18&gt;0,Q18=1),AU18*O18,"")</f>
        <v>0</v>
      </c>
      <c r="AX18" s="65">
        <f t="shared" si="11"/>
        <v>0</v>
      </c>
    </row>
    <row r="19" spans="2:50" x14ac:dyDescent="0.2">
      <c r="G19" s="1"/>
      <c r="H19" s="1"/>
      <c r="N19" s="38"/>
      <c r="P19" s="26"/>
      <c r="Q19" s="1"/>
      <c r="R19" s="1"/>
      <c r="S19" s="59" t="str">
        <f t="shared" si="8"/>
        <v/>
      </c>
      <c r="T19" s="59"/>
      <c r="U19" s="24" t="str">
        <f t="shared" si="9"/>
        <v/>
      </c>
      <c r="V19" s="24"/>
      <c r="W19" s="66"/>
      <c r="X19" s="24"/>
      <c r="Y19" s="79"/>
      <c r="AA19" s="1"/>
      <c r="AB19" s="16"/>
      <c r="AC19" s="1"/>
      <c r="AD19" s="25"/>
      <c r="AE19" s="16" t="str">
        <f t="shared" si="0"/>
        <v/>
      </c>
      <c r="AF19" s="16" t="str">
        <f t="shared" si="1"/>
        <v/>
      </c>
      <c r="AG19" s="16" t="str">
        <f t="shared" si="2"/>
        <v/>
      </c>
      <c r="AH19" s="16" t="str">
        <f t="shared" si="3"/>
        <v/>
      </c>
      <c r="AI19" s="16"/>
      <c r="AJ19" s="16"/>
      <c r="AK19" s="16" t="str">
        <f t="shared" si="12"/>
        <v/>
      </c>
      <c r="AL19" s="16" t="str">
        <f t="shared" si="4"/>
        <v/>
      </c>
      <c r="AQ19" s="1" t="str">
        <f t="shared" si="5"/>
        <v/>
      </c>
      <c r="AR19" s="1" t="str">
        <f t="shared" si="6"/>
        <v/>
      </c>
      <c r="AS19" s="1"/>
      <c r="AT19" s="1"/>
      <c r="AU19" s="1" t="str">
        <f t="shared" si="10"/>
        <v/>
      </c>
      <c r="AV19" s="1" t="str">
        <f>IF(AT19&gt;0,AU19*O19,"")</f>
        <v/>
      </c>
      <c r="AX19" s="66" t="str">
        <f t="shared" ref="AX19:AX33" si="13">IF(AK19&gt;0,AL19,AU19)</f>
        <v/>
      </c>
    </row>
    <row r="20" spans="2:50" x14ac:dyDescent="0.2">
      <c r="G20" s="1"/>
      <c r="H20" s="1"/>
      <c r="N20" s="38"/>
      <c r="P20" s="26"/>
      <c r="Q20" s="1"/>
      <c r="R20" s="1"/>
      <c r="S20" s="59" t="str">
        <f t="shared" si="8"/>
        <v/>
      </c>
      <c r="T20" s="59"/>
      <c r="U20" s="24" t="str">
        <f t="shared" si="9"/>
        <v/>
      </c>
      <c r="V20" s="24"/>
      <c r="W20" s="66"/>
      <c r="X20" s="24"/>
      <c r="Y20" s="79"/>
      <c r="AA20" s="1"/>
      <c r="AB20" s="16"/>
      <c r="AC20" s="1"/>
      <c r="AD20" s="25"/>
      <c r="AE20" s="16" t="str">
        <f t="shared" si="0"/>
        <v/>
      </c>
      <c r="AF20" s="16" t="str">
        <f t="shared" si="1"/>
        <v/>
      </c>
      <c r="AG20" s="16" t="str">
        <f t="shared" si="2"/>
        <v/>
      </c>
      <c r="AH20" s="16" t="str">
        <f t="shared" si="3"/>
        <v/>
      </c>
      <c r="AI20" s="16"/>
      <c r="AJ20" s="16"/>
      <c r="AK20" s="16" t="str">
        <f t="shared" si="12"/>
        <v/>
      </c>
      <c r="AL20" s="16" t="str">
        <f t="shared" si="4"/>
        <v/>
      </c>
      <c r="AQ20" s="1" t="str">
        <f t="shared" si="5"/>
        <v/>
      </c>
      <c r="AR20" s="1" t="str">
        <f t="shared" si="6"/>
        <v/>
      </c>
      <c r="AS20" s="1"/>
      <c r="AT20" s="1"/>
      <c r="AU20" s="1" t="str">
        <f t="shared" si="10"/>
        <v/>
      </c>
      <c r="AV20" s="1" t="str">
        <f>IF(AT20&gt;0,AU20*O20,"")</f>
        <v/>
      </c>
      <c r="AX20" s="66" t="str">
        <f t="shared" si="13"/>
        <v/>
      </c>
    </row>
    <row r="21" spans="2:50" x14ac:dyDescent="0.2">
      <c r="B21" s="133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P21" s="91"/>
      <c r="Q21" s="2">
        <v>1</v>
      </c>
      <c r="R21" s="2">
        <v>1</v>
      </c>
      <c r="S21" s="59" t="str">
        <f t="shared" si="8"/>
        <v/>
      </c>
      <c r="T21" s="59"/>
      <c r="U21" s="65">
        <f t="shared" si="9"/>
        <v>0</v>
      </c>
      <c r="V21" s="66"/>
      <c r="W21" s="65">
        <f>IF(Q21=1,U21-ByStudent!U21,"")</f>
        <v>0</v>
      </c>
      <c r="X21" s="66"/>
      <c r="Y21" s="78"/>
      <c r="AA21" s="16"/>
      <c r="AB21" s="2">
        <f>Q21*R21*O21</f>
        <v>3</v>
      </c>
      <c r="AC21" s="16"/>
      <c r="AE21" s="2">
        <f t="shared" si="0"/>
        <v>0</v>
      </c>
      <c r="AF21" s="2" t="str">
        <f t="shared" si="1"/>
        <v/>
      </c>
      <c r="AG21" s="2" t="str">
        <f t="shared" si="2"/>
        <v/>
      </c>
      <c r="AH21" s="2" t="str">
        <f t="shared" si="3"/>
        <v/>
      </c>
      <c r="AI21" s="16"/>
      <c r="AJ21" s="2">
        <f>COUNTIF(J21:M21,"=x")</f>
        <v>1</v>
      </c>
      <c r="AK21" s="2">
        <f t="shared" si="12"/>
        <v>0</v>
      </c>
      <c r="AL21" s="2">
        <f t="shared" si="4"/>
        <v>0</v>
      </c>
      <c r="AQ21" s="16"/>
      <c r="AR21" s="16"/>
      <c r="AS21" s="16"/>
      <c r="AT21" s="16"/>
      <c r="AU21" s="16"/>
      <c r="AV21" s="16"/>
      <c r="AW21" s="25"/>
      <c r="AX21" s="65">
        <f>AL21</f>
        <v>0</v>
      </c>
    </row>
    <row r="22" spans="2:50" x14ac:dyDescent="0.2">
      <c r="B22" s="134"/>
      <c r="C22" s="12" t="s">
        <v>22</v>
      </c>
      <c r="D22" s="13"/>
      <c r="E22" s="14"/>
      <c r="F22" s="13"/>
      <c r="G22" s="43"/>
      <c r="H22" s="43"/>
      <c r="J22" s="22" t="s">
        <v>30</v>
      </c>
      <c r="K22" s="18"/>
      <c r="L22" s="22"/>
      <c r="M22" s="22"/>
      <c r="N22" s="46"/>
      <c r="O22" s="20">
        <v>4</v>
      </c>
      <c r="P22" s="91"/>
      <c r="Q22" s="2">
        <v>1</v>
      </c>
      <c r="R22" s="2">
        <v>1</v>
      </c>
      <c r="S22" s="59" t="str">
        <f t="shared" si="8"/>
        <v/>
      </c>
      <c r="T22" s="59"/>
      <c r="U22" s="65">
        <f t="shared" si="9"/>
        <v>0</v>
      </c>
      <c r="V22" s="66"/>
      <c r="W22" s="65">
        <f>IF(Q22=1,U22-ByStudent!U22,"")</f>
        <v>0</v>
      </c>
      <c r="X22" s="66"/>
      <c r="Y22" s="78"/>
      <c r="AA22" s="16"/>
      <c r="AB22" s="2">
        <f>Q22*R22*O22</f>
        <v>4</v>
      </c>
      <c r="AC22" s="16"/>
      <c r="AE22" s="2">
        <f t="shared" si="0"/>
        <v>0</v>
      </c>
      <c r="AF22" s="2" t="str">
        <f t="shared" si="1"/>
        <v/>
      </c>
      <c r="AG22" s="2" t="str">
        <f t="shared" si="2"/>
        <v/>
      </c>
      <c r="AH22" s="2" t="str">
        <f t="shared" si="3"/>
        <v/>
      </c>
      <c r="AI22" s="16"/>
      <c r="AJ22" s="2">
        <f>COUNTIF(J22:M22,"=x")</f>
        <v>1</v>
      </c>
      <c r="AK22" s="2">
        <f t="shared" si="12"/>
        <v>0</v>
      </c>
      <c r="AL22" s="2">
        <f t="shared" si="4"/>
        <v>0</v>
      </c>
      <c r="AQ22" s="16"/>
      <c r="AR22" s="16"/>
      <c r="AS22" s="16"/>
      <c r="AT22" s="16"/>
      <c r="AU22" s="16"/>
      <c r="AV22" s="16"/>
      <c r="AW22" s="25"/>
      <c r="AX22" s="65">
        <f t="shared" ref="AX22:AX31" si="14">AL22</f>
        <v>0</v>
      </c>
    </row>
    <row r="23" spans="2:50" x14ac:dyDescent="0.2">
      <c r="B23" s="135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P23" s="91"/>
      <c r="Q23" s="2">
        <v>1</v>
      </c>
      <c r="R23" s="2">
        <v>0</v>
      </c>
      <c r="S23" s="59" t="str">
        <f t="shared" si="8"/>
        <v>Bonus</v>
      </c>
      <c r="T23" s="59"/>
      <c r="U23" s="65">
        <f t="shared" si="9"/>
        <v>0</v>
      </c>
      <c r="V23" s="66"/>
      <c r="W23" s="65">
        <f>IF(Q23=1,U23-ByStudent!U23,"")</f>
        <v>0</v>
      </c>
      <c r="X23" s="66"/>
      <c r="Y23" s="78"/>
      <c r="AA23" s="16"/>
      <c r="AB23" s="2">
        <f>Q23*R23*O23</f>
        <v>0</v>
      </c>
      <c r="AC23" s="16"/>
      <c r="AE23" s="2">
        <f t="shared" si="0"/>
        <v>0</v>
      </c>
      <c r="AF23" s="2" t="str">
        <f t="shared" si="1"/>
        <v/>
      </c>
      <c r="AG23" s="2" t="str">
        <f t="shared" si="2"/>
        <v/>
      </c>
      <c r="AH23" s="2" t="str">
        <f t="shared" si="3"/>
        <v/>
      </c>
      <c r="AI23" s="16"/>
      <c r="AJ23" s="2">
        <f>COUNTIF(J23:M23,"=x")</f>
        <v>1</v>
      </c>
      <c r="AK23" s="2">
        <f t="shared" si="12"/>
        <v>0</v>
      </c>
      <c r="AL23" s="2">
        <f t="shared" si="4"/>
        <v>0</v>
      </c>
      <c r="AQ23" s="16"/>
      <c r="AR23" s="16"/>
      <c r="AS23" s="16"/>
      <c r="AT23" s="16"/>
      <c r="AU23" s="16"/>
      <c r="AV23" s="16"/>
      <c r="AW23" s="25"/>
      <c r="AX23" s="65">
        <f t="shared" si="14"/>
        <v>0</v>
      </c>
    </row>
    <row r="24" spans="2:50" x14ac:dyDescent="0.2">
      <c r="B24" s="86"/>
      <c r="C24" s="13"/>
      <c r="D24" s="13"/>
      <c r="E24" s="13"/>
      <c r="F24" s="13"/>
      <c r="G24" s="84"/>
      <c r="H24" s="84"/>
      <c r="J24" s="87"/>
      <c r="K24" s="87"/>
      <c r="L24" s="87"/>
      <c r="M24" s="87"/>
      <c r="N24" s="46"/>
      <c r="O24" s="88"/>
      <c r="P24" s="90"/>
      <c r="Q24" s="89"/>
      <c r="R24" s="89"/>
      <c r="S24" s="64"/>
      <c r="T24" s="64"/>
      <c r="U24" s="66"/>
      <c r="V24" s="66"/>
      <c r="W24" s="66"/>
      <c r="X24" s="66"/>
      <c r="Y24" s="80"/>
      <c r="AA24" s="16"/>
      <c r="AB24" s="16"/>
      <c r="AC24" s="16"/>
      <c r="AD24" s="25"/>
      <c r="AE24" s="16"/>
      <c r="AF24" s="16"/>
      <c r="AG24" s="16"/>
      <c r="AH24" s="16"/>
      <c r="AI24" s="16"/>
      <c r="AJ24" s="16"/>
      <c r="AK24" s="16"/>
      <c r="AL24" s="16"/>
      <c r="AM24" s="25"/>
      <c r="AN24" s="25"/>
      <c r="AO24" s="25"/>
      <c r="AP24" s="25"/>
      <c r="AQ24" s="16"/>
      <c r="AR24" s="16"/>
      <c r="AS24" s="16"/>
      <c r="AT24" s="16"/>
      <c r="AU24" s="16"/>
      <c r="AV24" s="16"/>
      <c r="AW24" s="25"/>
      <c r="AX24" s="66"/>
    </row>
    <row r="25" spans="2:50" x14ac:dyDescent="0.2">
      <c r="B25" s="86"/>
      <c r="C25" s="13"/>
      <c r="D25" s="13"/>
      <c r="E25" s="13"/>
      <c r="F25" s="13"/>
      <c r="G25" s="84"/>
      <c r="H25" s="84"/>
      <c r="J25" s="87"/>
      <c r="K25" s="87"/>
      <c r="L25" s="87"/>
      <c r="M25" s="87"/>
      <c r="N25" s="46"/>
      <c r="O25" s="88"/>
      <c r="P25" s="90"/>
      <c r="Q25" s="111"/>
      <c r="R25" s="111"/>
      <c r="S25" s="64"/>
      <c r="T25" s="64"/>
      <c r="U25" s="66"/>
      <c r="V25" s="66"/>
      <c r="W25" s="66"/>
      <c r="X25" s="66"/>
      <c r="Y25" s="80"/>
      <c r="AA25" s="16"/>
      <c r="AB25" s="16"/>
      <c r="AC25" s="16"/>
      <c r="AD25" s="25"/>
      <c r="AE25" s="16"/>
      <c r="AF25" s="16"/>
      <c r="AG25" s="16"/>
      <c r="AH25" s="16"/>
      <c r="AI25" s="16"/>
      <c r="AJ25" s="16"/>
      <c r="AK25" s="16"/>
      <c r="AL25" s="16"/>
      <c r="AM25" s="25"/>
      <c r="AN25" s="25"/>
      <c r="AO25" s="25"/>
      <c r="AP25" s="25"/>
      <c r="AQ25" s="16"/>
      <c r="AR25" s="16"/>
      <c r="AS25" s="16"/>
      <c r="AT25" s="16"/>
      <c r="AU25" s="16"/>
      <c r="AV25" s="16"/>
      <c r="AW25" s="25"/>
      <c r="AX25" s="66"/>
    </row>
    <row r="26" spans="2:50" x14ac:dyDescent="0.2">
      <c r="B26" s="133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P26" s="91"/>
      <c r="Q26" s="2">
        <v>0</v>
      </c>
      <c r="R26" s="2">
        <v>0</v>
      </c>
      <c r="S26" s="59" t="str">
        <f t="shared" si="8"/>
        <v/>
      </c>
      <c r="T26" s="59"/>
      <c r="U26" s="65" t="str">
        <f t="shared" si="9"/>
        <v/>
      </c>
      <c r="V26" s="66"/>
      <c r="W26" s="65" t="str">
        <f>IF(Q26=1,U26-ByStudent!U26,"")</f>
        <v/>
      </c>
      <c r="X26" s="66"/>
      <c r="Y26" s="78"/>
      <c r="AA26" s="16"/>
      <c r="AB26" s="2">
        <f t="shared" ref="AB26:AB31" si="15">Q26*R26*O26</f>
        <v>0</v>
      </c>
      <c r="AC26" s="16"/>
      <c r="AE26" s="2">
        <f t="shared" ref="AE26:AH31" si="16">IF(J26="x",AE$3,"")</f>
        <v>0</v>
      </c>
      <c r="AF26" s="2" t="str">
        <f t="shared" si="16"/>
        <v/>
      </c>
      <c r="AG26" s="2" t="str">
        <f t="shared" si="16"/>
        <v/>
      </c>
      <c r="AH26" s="2" t="str">
        <f t="shared" si="16"/>
        <v/>
      </c>
      <c r="AI26" s="16"/>
      <c r="AJ26" s="2">
        <f t="shared" ref="AJ26:AJ31" si="17">COUNTIF(J26:M26,"=x")</f>
        <v>1</v>
      </c>
      <c r="AK26" s="2">
        <f t="shared" si="12"/>
        <v>0</v>
      </c>
      <c r="AL26" s="2" t="str">
        <f t="shared" ref="AL26:AL35" si="18">IF(AND(AJ26&gt;0,Q26=1),AK26*O26,"")</f>
        <v/>
      </c>
      <c r="AQ26" s="16"/>
      <c r="AR26" s="16"/>
      <c r="AS26" s="16"/>
      <c r="AT26" s="16"/>
      <c r="AU26" s="16"/>
      <c r="AV26" s="16"/>
      <c r="AW26" s="25"/>
      <c r="AX26" s="65" t="str">
        <f t="shared" si="14"/>
        <v/>
      </c>
    </row>
    <row r="27" spans="2:50" x14ac:dyDescent="0.2">
      <c r="B27" s="134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P27" s="91"/>
      <c r="Q27" s="2">
        <v>0</v>
      </c>
      <c r="R27" s="2">
        <v>0</v>
      </c>
      <c r="S27" s="59" t="str">
        <f t="shared" si="8"/>
        <v/>
      </c>
      <c r="T27" s="59"/>
      <c r="U27" s="65" t="str">
        <f t="shared" si="9"/>
        <v/>
      </c>
      <c r="V27" s="66"/>
      <c r="W27" s="65" t="str">
        <f>IF(Q27=1,U27-ByStudent!U27,"")</f>
        <v/>
      </c>
      <c r="X27" s="66"/>
      <c r="Y27" s="78"/>
      <c r="AA27" s="16"/>
      <c r="AB27" s="2">
        <f t="shared" si="15"/>
        <v>0</v>
      </c>
      <c r="AC27" s="16"/>
      <c r="AE27" s="2">
        <f t="shared" si="16"/>
        <v>0</v>
      </c>
      <c r="AF27" s="2" t="str">
        <f t="shared" si="16"/>
        <v/>
      </c>
      <c r="AG27" s="2" t="str">
        <f t="shared" si="16"/>
        <v/>
      </c>
      <c r="AH27" s="2" t="str">
        <f t="shared" si="16"/>
        <v/>
      </c>
      <c r="AI27" s="16"/>
      <c r="AJ27" s="2">
        <f t="shared" si="17"/>
        <v>1</v>
      </c>
      <c r="AK27" s="2">
        <f t="shared" si="12"/>
        <v>0</v>
      </c>
      <c r="AL27" s="2" t="str">
        <f t="shared" si="18"/>
        <v/>
      </c>
      <c r="AQ27" s="16"/>
      <c r="AR27" s="16"/>
      <c r="AS27" s="16"/>
      <c r="AT27" s="16"/>
      <c r="AU27" s="16"/>
      <c r="AV27" s="16"/>
      <c r="AW27" s="25"/>
      <c r="AX27" s="65" t="str">
        <f t="shared" si="14"/>
        <v/>
      </c>
    </row>
    <row r="28" spans="2:50" x14ac:dyDescent="0.2">
      <c r="B28" s="134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P28" s="91"/>
      <c r="Q28" s="2">
        <v>0</v>
      </c>
      <c r="R28" s="2">
        <v>0</v>
      </c>
      <c r="S28" s="59" t="str">
        <f t="shared" si="8"/>
        <v/>
      </c>
      <c r="T28" s="59"/>
      <c r="U28" s="65" t="str">
        <f t="shared" si="9"/>
        <v/>
      </c>
      <c r="V28" s="66"/>
      <c r="W28" s="65" t="str">
        <f>IF(Q28=1,U28-ByStudent!U28,"")</f>
        <v/>
      </c>
      <c r="X28" s="66"/>
      <c r="Y28" s="78"/>
      <c r="AA28" s="16"/>
      <c r="AB28" s="2">
        <f t="shared" si="15"/>
        <v>0</v>
      </c>
      <c r="AC28" s="16"/>
      <c r="AE28" s="2">
        <f t="shared" si="16"/>
        <v>0</v>
      </c>
      <c r="AF28" s="2" t="str">
        <f t="shared" si="16"/>
        <v/>
      </c>
      <c r="AG28" s="2" t="str">
        <f t="shared" si="16"/>
        <v/>
      </c>
      <c r="AH28" s="2" t="str">
        <f t="shared" si="16"/>
        <v/>
      </c>
      <c r="AI28" s="16"/>
      <c r="AJ28" s="2">
        <f t="shared" si="17"/>
        <v>1</v>
      </c>
      <c r="AK28" s="2">
        <f t="shared" si="12"/>
        <v>0</v>
      </c>
      <c r="AL28" s="2" t="str">
        <f t="shared" si="18"/>
        <v/>
      </c>
      <c r="AQ28" s="16"/>
      <c r="AR28" s="16"/>
      <c r="AS28" s="16"/>
      <c r="AT28" s="16"/>
      <c r="AU28" s="16"/>
      <c r="AV28" s="16"/>
      <c r="AW28" s="25"/>
      <c r="AX28" s="65" t="str">
        <f t="shared" si="14"/>
        <v/>
      </c>
    </row>
    <row r="29" spans="2:50" x14ac:dyDescent="0.2">
      <c r="B29" s="134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P29" s="91"/>
      <c r="Q29" s="2">
        <v>0</v>
      </c>
      <c r="R29" s="2">
        <v>0</v>
      </c>
      <c r="S29" s="59" t="str">
        <f t="shared" si="8"/>
        <v/>
      </c>
      <c r="T29" s="59"/>
      <c r="U29" s="65" t="str">
        <f t="shared" si="9"/>
        <v/>
      </c>
      <c r="V29" s="66"/>
      <c r="W29" s="65" t="str">
        <f>IF(Q29=1,U29-ByStudent!U29,"")</f>
        <v/>
      </c>
      <c r="X29" s="66"/>
      <c r="Y29" s="78"/>
      <c r="AA29" s="16"/>
      <c r="AB29" s="2">
        <f t="shared" si="15"/>
        <v>0</v>
      </c>
      <c r="AC29" s="16"/>
      <c r="AE29" s="2">
        <f t="shared" si="16"/>
        <v>0</v>
      </c>
      <c r="AF29" s="2" t="str">
        <f t="shared" si="16"/>
        <v/>
      </c>
      <c r="AG29" s="2" t="str">
        <f t="shared" si="16"/>
        <v/>
      </c>
      <c r="AH29" s="2" t="str">
        <f t="shared" si="16"/>
        <v/>
      </c>
      <c r="AI29" s="16"/>
      <c r="AJ29" s="2">
        <f t="shared" si="17"/>
        <v>1</v>
      </c>
      <c r="AK29" s="2">
        <f t="shared" si="12"/>
        <v>0</v>
      </c>
      <c r="AL29" s="2" t="str">
        <f t="shared" si="18"/>
        <v/>
      </c>
      <c r="AQ29" s="16"/>
      <c r="AR29" s="16"/>
      <c r="AS29" s="16"/>
      <c r="AT29" s="16"/>
      <c r="AU29" s="16"/>
      <c r="AV29" s="16"/>
      <c r="AW29" s="25"/>
      <c r="AX29" s="65" t="str">
        <f t="shared" si="14"/>
        <v/>
      </c>
    </row>
    <row r="30" spans="2:50" x14ac:dyDescent="0.2">
      <c r="B30" s="134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P30" s="91"/>
      <c r="Q30" s="2">
        <v>0</v>
      </c>
      <c r="R30" s="2">
        <v>0</v>
      </c>
      <c r="S30" s="59" t="str">
        <f t="shared" si="8"/>
        <v/>
      </c>
      <c r="T30" s="59"/>
      <c r="U30" s="65" t="str">
        <f t="shared" si="9"/>
        <v/>
      </c>
      <c r="V30" s="66"/>
      <c r="W30" s="65" t="str">
        <f>IF(Q30=1,U30-ByStudent!U30,"")</f>
        <v/>
      </c>
      <c r="X30" s="66"/>
      <c r="Y30" s="78"/>
      <c r="AA30" s="16"/>
      <c r="AB30" s="2">
        <f t="shared" si="15"/>
        <v>0</v>
      </c>
      <c r="AC30" s="16"/>
      <c r="AE30" s="2">
        <f t="shared" si="16"/>
        <v>0</v>
      </c>
      <c r="AF30" s="2" t="str">
        <f t="shared" si="16"/>
        <v/>
      </c>
      <c r="AG30" s="2" t="str">
        <f t="shared" si="16"/>
        <v/>
      </c>
      <c r="AH30" s="2" t="str">
        <f t="shared" si="16"/>
        <v/>
      </c>
      <c r="AI30" s="16"/>
      <c r="AJ30" s="2">
        <f t="shared" si="17"/>
        <v>1</v>
      </c>
      <c r="AK30" s="2">
        <f t="shared" si="12"/>
        <v>0</v>
      </c>
      <c r="AL30" s="2" t="str">
        <f t="shared" si="18"/>
        <v/>
      </c>
      <c r="AQ30" s="16"/>
      <c r="AR30" s="16"/>
      <c r="AS30" s="16"/>
      <c r="AT30" s="16"/>
      <c r="AU30" s="16"/>
      <c r="AV30" s="16"/>
      <c r="AW30" s="25"/>
      <c r="AX30" s="65" t="str">
        <f t="shared" si="14"/>
        <v/>
      </c>
    </row>
    <row r="31" spans="2:50" x14ac:dyDescent="0.2">
      <c r="B31" s="135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P31" s="91"/>
      <c r="Q31" s="2">
        <v>0</v>
      </c>
      <c r="R31" s="2">
        <v>0</v>
      </c>
      <c r="S31" s="59" t="str">
        <f t="shared" si="8"/>
        <v/>
      </c>
      <c r="T31" s="59"/>
      <c r="U31" s="65" t="str">
        <f t="shared" si="9"/>
        <v/>
      </c>
      <c r="V31" s="66"/>
      <c r="W31" s="65" t="str">
        <f>IF(Q31=1,U31-ByStudent!U31,"")</f>
        <v/>
      </c>
      <c r="X31" s="66"/>
      <c r="Y31" s="78"/>
      <c r="AA31" s="16"/>
      <c r="AB31" s="2">
        <f t="shared" si="15"/>
        <v>0</v>
      </c>
      <c r="AC31" s="16"/>
      <c r="AD31" s="25"/>
      <c r="AE31" s="2">
        <f t="shared" si="16"/>
        <v>0</v>
      </c>
      <c r="AF31" s="2" t="str">
        <f t="shared" si="16"/>
        <v/>
      </c>
      <c r="AG31" s="2" t="str">
        <f t="shared" si="16"/>
        <v/>
      </c>
      <c r="AH31" s="2" t="str">
        <f t="shared" si="16"/>
        <v/>
      </c>
      <c r="AI31" s="16"/>
      <c r="AJ31" s="2">
        <f t="shared" si="17"/>
        <v>1</v>
      </c>
      <c r="AK31" s="2">
        <f t="shared" si="12"/>
        <v>0</v>
      </c>
      <c r="AL31" s="2" t="str">
        <f t="shared" si="18"/>
        <v/>
      </c>
      <c r="AQ31" s="16"/>
      <c r="AR31" s="16"/>
      <c r="AS31" s="16"/>
      <c r="AT31" s="16"/>
      <c r="AU31" s="16"/>
      <c r="AV31" s="16"/>
      <c r="AW31" s="25"/>
      <c r="AX31" s="65" t="str">
        <f t="shared" si="14"/>
        <v/>
      </c>
    </row>
    <row r="32" spans="2:50" x14ac:dyDescent="0.2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P32" s="90"/>
      <c r="Q32" s="16"/>
      <c r="R32" s="16"/>
      <c r="S32" s="64"/>
      <c r="T32" s="1"/>
      <c r="U32" t="str">
        <f t="shared" si="9"/>
        <v/>
      </c>
      <c r="W32" s="66"/>
      <c r="Y32" s="81"/>
      <c r="AA32" s="1"/>
      <c r="AB32" s="16"/>
      <c r="AC32" s="1"/>
      <c r="AD32" s="25"/>
      <c r="AE32" s="16"/>
      <c r="AF32" s="16"/>
      <c r="AG32" s="16"/>
      <c r="AH32" s="16"/>
      <c r="AI32" s="16"/>
      <c r="AJ32" s="16"/>
      <c r="AK32" s="16"/>
      <c r="AL32" s="16" t="str">
        <f t="shared" si="18"/>
        <v/>
      </c>
      <c r="AQ32" t="str">
        <f t="shared" ref="AQ32:AR35" si="19">IF(G32="x",AQ$3,"")</f>
        <v/>
      </c>
      <c r="AR32" t="str">
        <f t="shared" si="19"/>
        <v/>
      </c>
      <c r="AU32" t="str">
        <f t="shared" si="10"/>
        <v/>
      </c>
      <c r="AV32" t="str">
        <f>IF(AT32&gt;0,AU32*O32,"")</f>
        <v/>
      </c>
      <c r="AX32" s="16" t="str">
        <f t="shared" si="13"/>
        <v/>
      </c>
    </row>
    <row r="33" spans="2:50" x14ac:dyDescent="0.2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P33" s="90"/>
      <c r="Q33" s="16"/>
      <c r="R33" s="16"/>
      <c r="S33" s="64"/>
      <c r="T33" s="1"/>
      <c r="U33" t="str">
        <f t="shared" si="9"/>
        <v/>
      </c>
      <c r="W33" s="66"/>
      <c r="Y33" s="81"/>
      <c r="AA33" s="1"/>
      <c r="AB33" s="16"/>
      <c r="AC33" s="1"/>
      <c r="AD33" s="25"/>
      <c r="AE33" s="16"/>
      <c r="AF33" s="16"/>
      <c r="AG33" s="16"/>
      <c r="AH33" s="16"/>
      <c r="AI33" s="16"/>
      <c r="AJ33" s="16"/>
      <c r="AK33" s="16"/>
      <c r="AL33" s="16" t="str">
        <f t="shared" si="18"/>
        <v/>
      </c>
      <c r="AQ33" t="str">
        <f t="shared" si="19"/>
        <v/>
      </c>
      <c r="AR33" t="str">
        <f t="shared" si="19"/>
        <v/>
      </c>
      <c r="AU33" t="str">
        <f t="shared" si="10"/>
        <v/>
      </c>
      <c r="AV33" t="str">
        <f>IF(AT33&gt;0,AU33*O33,"")</f>
        <v/>
      </c>
      <c r="AX33" s="16" t="str">
        <f t="shared" si="13"/>
        <v/>
      </c>
    </row>
    <row r="34" spans="2:50" x14ac:dyDescent="0.2">
      <c r="B34" s="133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 t="s">
        <v>30</v>
      </c>
      <c r="K34" s="22"/>
      <c r="L34" s="22"/>
      <c r="M34" s="22"/>
      <c r="N34" s="46"/>
      <c r="O34" s="20">
        <v>3</v>
      </c>
      <c r="P34" s="91"/>
      <c r="Q34" s="2">
        <v>1</v>
      </c>
      <c r="R34" s="2">
        <v>1</v>
      </c>
      <c r="S34" s="59" t="str">
        <f t="shared" si="8"/>
        <v/>
      </c>
      <c r="T34" s="1"/>
      <c r="U34" s="2">
        <f t="shared" si="9"/>
        <v>0</v>
      </c>
      <c r="V34" s="16"/>
      <c r="W34" s="65">
        <f>IF(Q34=1,U34-ByStudent!U34,"")</f>
        <v>0</v>
      </c>
      <c r="X34" s="16"/>
      <c r="Y34" s="82"/>
      <c r="AA34" s="16"/>
      <c r="AB34" s="2">
        <f>Q34*R34*O34</f>
        <v>3</v>
      </c>
      <c r="AC34" s="16"/>
      <c r="AE34" s="2">
        <f t="shared" ref="AE34:AH35" si="20">IF(J34="x",AE$3,"")</f>
        <v>0</v>
      </c>
      <c r="AF34" s="2" t="str">
        <f t="shared" si="20"/>
        <v/>
      </c>
      <c r="AG34" s="2" t="str">
        <f t="shared" si="20"/>
        <v/>
      </c>
      <c r="AH34" s="2" t="str">
        <f t="shared" si="20"/>
        <v/>
      </c>
      <c r="AI34" s="16"/>
      <c r="AJ34" s="2">
        <f>COUNTIF(J34:M34,"=x")</f>
        <v>1</v>
      </c>
      <c r="AK34" s="2">
        <f t="shared" si="12"/>
        <v>0</v>
      </c>
      <c r="AL34" s="2">
        <f t="shared" si="18"/>
        <v>0</v>
      </c>
      <c r="AQ34" s="2">
        <f t="shared" si="19"/>
        <v>0</v>
      </c>
      <c r="AR34" s="2" t="str">
        <f t="shared" si="19"/>
        <v/>
      </c>
      <c r="AS34" s="1"/>
      <c r="AT34" s="2">
        <f>COUNTIF(G34:H34,"=x")</f>
        <v>1</v>
      </c>
      <c r="AU34" s="2">
        <f t="shared" si="10"/>
        <v>0</v>
      </c>
      <c r="AV34" s="2">
        <f>IF(AND(AT34&gt;0,Q34=1),AU34*O34,"")</f>
        <v>0</v>
      </c>
      <c r="AX34" s="2">
        <f t="shared" ref="AX34:AX35" si="21">MAX(AL34,AV34)</f>
        <v>0</v>
      </c>
    </row>
    <row r="35" spans="2:50" x14ac:dyDescent="0.2">
      <c r="B35" s="135"/>
      <c r="C35" s="8" t="s">
        <v>54</v>
      </c>
      <c r="D35" s="9"/>
      <c r="E35" s="10"/>
      <c r="F35" s="11"/>
      <c r="G35" s="77"/>
      <c r="H35" s="77"/>
      <c r="I35" s="1"/>
      <c r="J35" s="75" t="s">
        <v>30</v>
      </c>
      <c r="K35" s="99"/>
      <c r="L35" s="99"/>
      <c r="M35" s="75"/>
      <c r="O35" s="20">
        <v>1</v>
      </c>
      <c r="P35" s="91"/>
      <c r="Q35" s="2">
        <v>1</v>
      </c>
      <c r="R35" s="2">
        <v>0</v>
      </c>
      <c r="S35" s="59" t="str">
        <f t="shared" si="8"/>
        <v>Bonus</v>
      </c>
      <c r="U35" s="2">
        <f t="shared" si="9"/>
        <v>0</v>
      </c>
      <c r="W35" s="65">
        <f>IF(Q35=1,U35-ByStudent!U35,"")</f>
        <v>0</v>
      </c>
      <c r="Y35" s="82"/>
      <c r="AB35" s="2">
        <f>Q35*R35*O35</f>
        <v>0</v>
      </c>
      <c r="AE35" s="2">
        <f t="shared" si="20"/>
        <v>0</v>
      </c>
      <c r="AF35" s="2" t="str">
        <f t="shared" si="20"/>
        <v/>
      </c>
      <c r="AG35" s="2" t="str">
        <f t="shared" si="20"/>
        <v/>
      </c>
      <c r="AH35" s="2" t="str">
        <f t="shared" si="20"/>
        <v/>
      </c>
      <c r="AJ35" s="2">
        <f>COUNTIF(J35:M35,"=x")</f>
        <v>1</v>
      </c>
      <c r="AK35" s="2">
        <f t="shared" ref="AK35" si="22">IF(AJ35&gt;0,AVERAGE(AE35:AH35),"")</f>
        <v>0</v>
      </c>
      <c r="AL35" s="2">
        <f t="shared" si="18"/>
        <v>0</v>
      </c>
      <c r="AQ35" s="2" t="str">
        <f t="shared" si="19"/>
        <v/>
      </c>
      <c r="AR35" s="2" t="str">
        <f t="shared" si="19"/>
        <v/>
      </c>
      <c r="AT35" s="2">
        <f>COUNTIF(G35:H35,"=x")</f>
        <v>0</v>
      </c>
      <c r="AU35" s="2" t="str">
        <f t="shared" ref="AU35" si="23">IF(AT35&gt;0,AVERAGE(AQ35:AR35),"")</f>
        <v/>
      </c>
      <c r="AV35" s="2" t="str">
        <f>IF(AND(AT35&gt;0,Q35=1),AU35*O35,"")</f>
        <v/>
      </c>
      <c r="AX35" s="2">
        <f t="shared" si="21"/>
        <v>0</v>
      </c>
    </row>
    <row r="36" spans="2:50" ht="13.5" hidden="1" outlineLevel="1" thickBot="1" x14ac:dyDescent="0.25">
      <c r="C36" s="11"/>
      <c r="D36" s="11"/>
      <c r="E36" s="11"/>
      <c r="F36" s="11"/>
      <c r="G36" s="11"/>
      <c r="H36" s="11"/>
      <c r="O36" s="53"/>
      <c r="P36" s="26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16"/>
      <c r="AB36" s="54"/>
      <c r="AC36" s="16"/>
      <c r="AD36" s="25"/>
      <c r="AE36" s="25"/>
      <c r="AF36" s="25"/>
      <c r="AG36" s="25"/>
      <c r="AH36" s="25"/>
      <c r="AI36" s="25"/>
      <c r="AJ36" s="25"/>
      <c r="AK36" s="25"/>
      <c r="AL36" s="53"/>
      <c r="AX36" s="53"/>
    </row>
    <row r="37" spans="2:50" ht="12.75" hidden="1" customHeight="1" outlineLevel="1" thickTop="1" x14ac:dyDescent="0.2">
      <c r="O37" s="51">
        <f>SUM(O5:O35)</f>
        <v>80</v>
      </c>
      <c r="P37" s="85"/>
      <c r="Q37" s="1"/>
      <c r="R37" s="1"/>
      <c r="S37" s="1"/>
      <c r="T37" s="1"/>
      <c r="U37" s="1">
        <f>AX37</f>
        <v>0</v>
      </c>
      <c r="V37" s="1"/>
      <c r="W37" s="1"/>
      <c r="X37" s="1"/>
      <c r="Y37" s="1"/>
      <c r="AA37" s="51"/>
      <c r="AB37" s="51">
        <f>SUM(AA5:AD35)</f>
        <v>28</v>
      </c>
      <c r="AC37" s="51"/>
      <c r="AD37" s="1"/>
      <c r="AE37" s="1"/>
      <c r="AF37" s="1"/>
      <c r="AG37" s="1"/>
      <c r="AH37" s="1"/>
      <c r="AI37" s="1"/>
      <c r="AJ37" s="1"/>
      <c r="AK37" s="1"/>
      <c r="AL37" s="50">
        <f>SUM(AL5:AL35)</f>
        <v>0</v>
      </c>
      <c r="AW37" s="62" t="s">
        <v>34</v>
      </c>
      <c r="AX37" s="52">
        <f>SUM(AX5:AX35)</f>
        <v>0</v>
      </c>
    </row>
    <row r="38" spans="2:50" hidden="1" outlineLevel="1" x14ac:dyDescent="0.2">
      <c r="O38" s="1"/>
      <c r="P38" s="85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W38" s="63"/>
      <c r="AX38" s="51"/>
    </row>
    <row r="39" spans="2:50" hidden="1" outlineLevel="1" x14ac:dyDescent="0.2">
      <c r="O39" s="1"/>
      <c r="P39" s="85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52">
        <f>AL37/AB37</f>
        <v>0</v>
      </c>
      <c r="AW39" s="62" t="s">
        <v>37</v>
      </c>
      <c r="AX39" s="52">
        <f>AX37/AB37</f>
        <v>0</v>
      </c>
    </row>
    <row r="40" spans="2:50" hidden="1" outlineLevel="1" x14ac:dyDescent="0.2">
      <c r="P40" s="26"/>
      <c r="AW40" s="63"/>
      <c r="AX40" s="51"/>
    </row>
    <row r="41" spans="2:50" hidden="1" outlineLevel="1" x14ac:dyDescent="0.2">
      <c r="P41" s="26"/>
      <c r="AL41" s="60">
        <f>5/3*AL39+1</f>
        <v>1</v>
      </c>
      <c r="AW41" s="62" t="s">
        <v>36</v>
      </c>
      <c r="AX41" s="51">
        <f>5/3*AX39+1</f>
        <v>1</v>
      </c>
    </row>
    <row r="42" spans="2:50" hidden="1" outlineLevel="1" x14ac:dyDescent="0.2">
      <c r="P42" s="26"/>
    </row>
    <row r="43" spans="2:50" collapsed="1" x14ac:dyDescent="0.2">
      <c r="N43" s="38"/>
      <c r="P43" s="26"/>
    </row>
    <row r="44" spans="2:50" x14ac:dyDescent="0.2">
      <c r="N44" s="38"/>
      <c r="P44" s="25"/>
    </row>
    <row r="45" spans="2:50" x14ac:dyDescent="0.2">
      <c r="B45" s="137" t="s">
        <v>0</v>
      </c>
      <c r="C45" s="5" t="s">
        <v>6</v>
      </c>
      <c r="D45" s="6"/>
      <c r="E45" s="7"/>
      <c r="F45" s="38"/>
      <c r="G45" s="156">
        <v>0</v>
      </c>
      <c r="H45" s="157"/>
      <c r="I45" s="157"/>
      <c r="J45" s="157"/>
      <c r="K45" s="157"/>
      <c r="L45" s="157"/>
      <c r="M45" s="158"/>
      <c r="N45" s="38"/>
      <c r="U45" s="173" t="s">
        <v>53</v>
      </c>
      <c r="V45" s="174"/>
      <c r="W45" s="171">
        <f>ByProf!G45-ByStudent!G44</f>
        <v>0</v>
      </c>
      <c r="Y45" s="101"/>
    </row>
    <row r="46" spans="2:50" x14ac:dyDescent="0.2">
      <c r="B46" s="139"/>
      <c r="C46" s="8" t="s">
        <v>7</v>
      </c>
      <c r="D46" s="9"/>
      <c r="E46" s="10"/>
      <c r="F46" s="38"/>
      <c r="G46" s="159"/>
      <c r="H46" s="160"/>
      <c r="I46" s="160"/>
      <c r="J46" s="160"/>
      <c r="K46" s="160"/>
      <c r="L46" s="160"/>
      <c r="M46" s="161"/>
      <c r="N46" s="38"/>
      <c r="U46" s="175"/>
      <c r="V46" s="176"/>
      <c r="W46" s="172"/>
      <c r="Y46" s="101"/>
      <c r="AM46" s="141"/>
      <c r="AN46" s="141"/>
      <c r="AO46" s="26"/>
      <c r="AP46" s="142"/>
      <c r="AQ46" s="142"/>
      <c r="AR46" s="142"/>
      <c r="AS46" s="41"/>
      <c r="AT46" s="26"/>
      <c r="AU46" s="26"/>
      <c r="AV46" s="26"/>
    </row>
    <row r="47" spans="2:50" x14ac:dyDescent="0.2">
      <c r="D47" s="25"/>
      <c r="E47" s="38"/>
      <c r="F47" s="38"/>
      <c r="G47" s="162" t="s">
        <v>35</v>
      </c>
      <c r="H47" s="162"/>
      <c r="I47" s="162"/>
      <c r="J47" s="162"/>
      <c r="K47" s="162"/>
      <c r="L47" s="162"/>
      <c r="M47" s="162"/>
      <c r="AM47" s="42"/>
      <c r="AN47" s="42"/>
      <c r="AO47" s="26"/>
      <c r="AP47" s="27"/>
      <c r="AQ47" s="41"/>
      <c r="AR47" s="41"/>
      <c r="AS47" s="41"/>
      <c r="AT47" s="26"/>
      <c r="AU47" s="27"/>
      <c r="AV47" s="26"/>
    </row>
    <row r="48" spans="2:50" ht="13.5" thickBot="1" x14ac:dyDescent="0.25">
      <c r="D48" s="13"/>
      <c r="E48" s="38"/>
      <c r="F48" s="38"/>
      <c r="G48" s="38"/>
      <c r="H48" s="38"/>
      <c r="I48" s="38"/>
      <c r="J48" s="38"/>
      <c r="K48" s="38"/>
      <c r="L48" s="38"/>
      <c r="M48" s="38"/>
      <c r="AM48" s="26"/>
      <c r="AN48" s="26"/>
      <c r="AO48" s="26"/>
      <c r="AP48" s="26"/>
      <c r="AQ48" s="26"/>
      <c r="AR48" s="26"/>
      <c r="AS48" s="26"/>
      <c r="AT48" s="26"/>
      <c r="AU48" s="26"/>
      <c r="AV48" s="26"/>
    </row>
    <row r="49" spans="4:48" ht="24" thickBot="1" x14ac:dyDescent="0.25">
      <c r="D49" s="151" t="s">
        <v>43</v>
      </c>
      <c r="E49" s="152"/>
      <c r="G49" s="153">
        <f>arrondi10(AX41+G45)</f>
        <v>1</v>
      </c>
      <c r="H49" s="154"/>
      <c r="I49" s="154"/>
      <c r="J49" s="154"/>
      <c r="K49" s="154"/>
      <c r="L49" s="154"/>
      <c r="M49" s="155"/>
      <c r="R49" s="24"/>
      <c r="U49" s="177" t="s">
        <v>51</v>
      </c>
      <c r="V49" s="178"/>
      <c r="W49" s="67">
        <f>G49-ByStudent!G48</f>
        <v>0</v>
      </c>
      <c r="X49" s="74"/>
      <c r="Y49" s="74"/>
      <c r="Z49" s="24"/>
      <c r="AA49" s="24"/>
      <c r="AB49" s="24"/>
      <c r="AC49" s="24"/>
      <c r="AM49" s="23"/>
      <c r="AN49" s="23"/>
      <c r="AO49" s="26"/>
      <c r="AP49" s="23"/>
      <c r="AQ49" s="28"/>
      <c r="AR49" s="42"/>
      <c r="AS49" s="42"/>
      <c r="AT49" s="164"/>
      <c r="AU49" s="165"/>
      <c r="AV49" s="26"/>
    </row>
    <row r="50" spans="4:48" x14ac:dyDescent="0.2">
      <c r="F50" s="13"/>
      <c r="G50" s="48" t="s">
        <v>29</v>
      </c>
      <c r="H50" s="48"/>
      <c r="I50" s="48"/>
      <c r="J50" s="48"/>
      <c r="K50" s="48"/>
      <c r="L50" s="48"/>
      <c r="M50" s="48"/>
      <c r="U50" s="179" t="s">
        <v>44</v>
      </c>
      <c r="V50" s="179"/>
      <c r="W50" s="179"/>
      <c r="X50" s="64"/>
      <c r="Y50" s="64"/>
      <c r="AM50" s="23"/>
      <c r="AN50" s="23"/>
      <c r="AO50" s="26"/>
      <c r="AP50" s="23"/>
      <c r="AQ50" s="28"/>
      <c r="AR50" s="42"/>
      <c r="AS50" s="42"/>
      <c r="AT50" s="164"/>
      <c r="AU50" s="166"/>
      <c r="AV50" s="26"/>
    </row>
    <row r="51" spans="4:48" x14ac:dyDescent="0.2">
      <c r="AM51" s="26"/>
      <c r="AN51" s="26"/>
      <c r="AO51" s="26"/>
      <c r="AP51" s="23"/>
      <c r="AQ51" s="29"/>
      <c r="AR51" s="26"/>
      <c r="AS51" s="42"/>
      <c r="AT51" s="30"/>
      <c r="AU51" s="26"/>
      <c r="AV51" s="26"/>
    </row>
    <row r="52" spans="4:48" x14ac:dyDescent="0.2">
      <c r="AM52" s="23"/>
      <c r="AN52" s="23"/>
      <c r="AO52" s="26"/>
      <c r="AP52" s="23"/>
      <c r="AQ52" s="28"/>
      <c r="AR52" s="42"/>
      <c r="AS52" s="42"/>
      <c r="AT52" s="164"/>
      <c r="AU52" s="165"/>
      <c r="AV52" s="26"/>
    </row>
    <row r="53" spans="4:48" ht="12.75" customHeight="1" x14ac:dyDescent="0.2">
      <c r="AM53" s="23"/>
      <c r="AN53" s="23"/>
      <c r="AO53" s="26"/>
      <c r="AP53" s="23"/>
      <c r="AQ53" s="28"/>
      <c r="AR53" s="42"/>
      <c r="AS53" s="42"/>
      <c r="AT53" s="164"/>
      <c r="AU53" s="166"/>
      <c r="AV53" s="26"/>
    </row>
    <row r="54" spans="4:48" ht="13.5" customHeight="1" x14ac:dyDescent="0.2">
      <c r="AM54" s="23"/>
      <c r="AN54" s="23"/>
      <c r="AO54" s="26"/>
      <c r="AP54" s="23"/>
      <c r="AQ54" s="28"/>
      <c r="AR54" s="42"/>
      <c r="AS54" s="42"/>
      <c r="AT54" s="164"/>
      <c r="AU54" s="166"/>
      <c r="AV54" s="26"/>
    </row>
    <row r="55" spans="4:48" x14ac:dyDescent="0.2">
      <c r="AM55" s="23"/>
      <c r="AN55" s="23"/>
      <c r="AO55" s="26"/>
      <c r="AP55" s="23"/>
      <c r="AQ55" s="28"/>
      <c r="AR55" s="42"/>
      <c r="AS55" s="42"/>
      <c r="AT55" s="164"/>
      <c r="AU55" s="166"/>
      <c r="AV55" s="26"/>
    </row>
    <row r="56" spans="4:48" x14ac:dyDescent="0.2">
      <c r="AM56" s="26"/>
      <c r="AN56" s="26"/>
      <c r="AO56" s="26"/>
      <c r="AP56" s="23"/>
      <c r="AQ56" s="29"/>
      <c r="AR56" s="26"/>
      <c r="AS56" s="42"/>
      <c r="AT56" s="30"/>
      <c r="AU56" s="26"/>
      <c r="AV56" s="26"/>
    </row>
    <row r="57" spans="4:48" x14ac:dyDescent="0.2">
      <c r="AM57" s="23"/>
      <c r="AN57" s="23"/>
      <c r="AO57" s="26"/>
      <c r="AP57" s="23"/>
      <c r="AQ57" s="28"/>
      <c r="AR57" s="42"/>
      <c r="AS57" s="42"/>
      <c r="AT57" s="164"/>
      <c r="AU57" s="165"/>
      <c r="AV57" s="26"/>
    </row>
    <row r="58" spans="4:48" x14ac:dyDescent="0.2">
      <c r="AM58" s="23"/>
      <c r="AN58" s="23"/>
      <c r="AO58" s="26"/>
      <c r="AP58" s="23"/>
      <c r="AQ58" s="28"/>
      <c r="AR58" s="42"/>
      <c r="AS58" s="42"/>
      <c r="AT58" s="164"/>
      <c r="AU58" s="165"/>
      <c r="AV58" s="26"/>
    </row>
    <row r="59" spans="4:48" x14ac:dyDescent="0.2">
      <c r="AM59" s="23"/>
      <c r="AN59" s="23"/>
      <c r="AO59" s="26"/>
      <c r="AP59" s="23"/>
      <c r="AQ59" s="28"/>
      <c r="AR59" s="42"/>
      <c r="AS59" s="42"/>
      <c r="AT59" s="164"/>
      <c r="AU59" s="165"/>
      <c r="AV59" s="26"/>
    </row>
    <row r="60" spans="4:48" x14ac:dyDescent="0.2">
      <c r="AM60" s="23"/>
      <c r="AN60" s="23"/>
      <c r="AO60" s="26"/>
      <c r="AP60" s="23"/>
      <c r="AQ60" s="28"/>
      <c r="AR60" s="42"/>
      <c r="AS60" s="42"/>
      <c r="AT60" s="164"/>
      <c r="AU60" s="165"/>
      <c r="AV60" s="26"/>
    </row>
    <row r="61" spans="4:48" x14ac:dyDescent="0.2">
      <c r="AM61" s="23"/>
      <c r="AN61" s="23"/>
      <c r="AO61" s="26"/>
      <c r="AP61" s="23"/>
      <c r="AQ61" s="28"/>
      <c r="AR61" s="42"/>
      <c r="AS61" s="42"/>
      <c r="AT61" s="164"/>
      <c r="AU61" s="166"/>
      <c r="AV61" s="26"/>
    </row>
    <row r="62" spans="4:48" x14ac:dyDescent="0.2">
      <c r="AM62" s="23"/>
      <c r="AN62" s="23"/>
      <c r="AO62" s="26"/>
      <c r="AP62" s="23"/>
      <c r="AQ62" s="28"/>
      <c r="AR62" s="42"/>
      <c r="AS62" s="42"/>
      <c r="AT62" s="164"/>
      <c r="AU62" s="166"/>
      <c r="AV62" s="26"/>
    </row>
    <row r="63" spans="4:48" x14ac:dyDescent="0.2">
      <c r="AM63" s="23"/>
      <c r="AN63" s="23"/>
      <c r="AO63" s="26"/>
      <c r="AP63" s="23"/>
      <c r="AQ63" s="28"/>
      <c r="AR63" s="42"/>
      <c r="AS63" s="42"/>
      <c r="AT63" s="164"/>
      <c r="AU63" s="166"/>
      <c r="AV63" s="26"/>
    </row>
    <row r="64" spans="4:48" x14ac:dyDescent="0.2">
      <c r="AM64" s="26"/>
      <c r="AN64" s="26"/>
      <c r="AO64" s="26"/>
      <c r="AP64" s="23"/>
      <c r="AQ64" s="29"/>
      <c r="AR64" s="26"/>
      <c r="AS64" s="42"/>
      <c r="AT64" s="30"/>
      <c r="AU64" s="26"/>
      <c r="AV64" s="26"/>
    </row>
    <row r="65" spans="39:48" x14ac:dyDescent="0.2">
      <c r="AM65" s="23"/>
      <c r="AN65" s="23"/>
      <c r="AO65" s="26"/>
      <c r="AP65" s="23"/>
      <c r="AQ65" s="28"/>
      <c r="AR65" s="42"/>
      <c r="AS65" s="42"/>
      <c r="AT65" s="164"/>
      <c r="AU65" s="165"/>
      <c r="AV65" s="26"/>
    </row>
    <row r="66" spans="39:48" x14ac:dyDescent="0.2">
      <c r="AM66" s="23"/>
      <c r="AN66" s="23"/>
      <c r="AO66" s="26"/>
      <c r="AP66" s="23"/>
      <c r="AQ66" s="28"/>
      <c r="AR66" s="42"/>
      <c r="AS66" s="42"/>
      <c r="AT66" s="164"/>
      <c r="AU66" s="166"/>
      <c r="AV66" s="26"/>
    </row>
    <row r="67" spans="39:48" x14ac:dyDescent="0.2">
      <c r="AM67" s="26"/>
      <c r="AN67" s="26"/>
      <c r="AO67" s="26"/>
      <c r="AP67" s="23"/>
      <c r="AQ67" s="29"/>
      <c r="AR67" s="26"/>
      <c r="AS67" s="42"/>
      <c r="AT67" s="30"/>
      <c r="AU67" s="26"/>
      <c r="AV67" s="26"/>
    </row>
    <row r="68" spans="39:48" x14ac:dyDescent="0.2">
      <c r="AM68" s="23"/>
      <c r="AN68" s="23"/>
      <c r="AO68" s="26"/>
      <c r="AP68" s="23"/>
      <c r="AQ68" s="28"/>
      <c r="AR68" s="42"/>
      <c r="AS68" s="42"/>
      <c r="AT68" s="164"/>
      <c r="AU68" s="165"/>
      <c r="AV68" s="26"/>
    </row>
    <row r="69" spans="39:48" x14ac:dyDescent="0.2">
      <c r="AM69" s="23"/>
      <c r="AN69" s="23"/>
      <c r="AO69" s="26"/>
      <c r="AP69" s="23"/>
      <c r="AQ69" s="28"/>
      <c r="AR69" s="42"/>
      <c r="AS69" s="42"/>
      <c r="AT69" s="164"/>
      <c r="AU69" s="166"/>
      <c r="AV69" s="26"/>
    </row>
    <row r="70" spans="39:48" x14ac:dyDescent="0.2">
      <c r="AM70" s="23"/>
      <c r="AN70" s="23"/>
      <c r="AO70" s="26"/>
      <c r="AP70" s="23"/>
      <c r="AQ70" s="28"/>
      <c r="AR70" s="42"/>
      <c r="AS70" s="42"/>
      <c r="AT70" s="164"/>
      <c r="AU70" s="166"/>
      <c r="AV70" s="26"/>
    </row>
    <row r="71" spans="39:48" x14ac:dyDescent="0.2">
      <c r="AM71" s="26"/>
      <c r="AN71" s="26"/>
      <c r="AO71" s="26"/>
      <c r="AP71" s="26"/>
      <c r="AQ71" s="26"/>
      <c r="AR71" s="26"/>
      <c r="AS71" s="26"/>
      <c r="AT71" s="31"/>
      <c r="AU71" s="26"/>
      <c r="AV71" s="26"/>
    </row>
    <row r="72" spans="39:48" x14ac:dyDescent="0.2">
      <c r="AM72" s="26"/>
      <c r="AN72" s="26"/>
      <c r="AO72" s="26"/>
      <c r="AP72" s="26"/>
      <c r="AQ72" s="26"/>
      <c r="AR72" s="26"/>
      <c r="AS72" s="26"/>
      <c r="AT72" s="32"/>
      <c r="AU72" s="27"/>
      <c r="AV72" s="26"/>
    </row>
    <row r="73" spans="39:48" x14ac:dyDescent="0.2">
      <c r="AM73" s="26"/>
      <c r="AN73" s="26"/>
      <c r="AO73" s="26"/>
      <c r="AP73" s="26"/>
      <c r="AQ73" s="26"/>
      <c r="AR73" s="26"/>
      <c r="AS73" s="26"/>
      <c r="AT73" s="26"/>
      <c r="AU73" s="26"/>
      <c r="AV73" s="26"/>
    </row>
  </sheetData>
  <mergeCells count="41">
    <mergeCell ref="AM46:AN46"/>
    <mergeCell ref="AP46:AR46"/>
    <mergeCell ref="AT68:AT70"/>
    <mergeCell ref="AU68:AU70"/>
    <mergeCell ref="U49:V49"/>
    <mergeCell ref="U50:W50"/>
    <mergeCell ref="AU49:AU50"/>
    <mergeCell ref="AT52:AT55"/>
    <mergeCell ref="AU52:AU55"/>
    <mergeCell ref="AT57:AT63"/>
    <mergeCell ref="AU57:AU63"/>
    <mergeCell ref="AT65:AT66"/>
    <mergeCell ref="AU65:AU66"/>
    <mergeCell ref="AT49:AT50"/>
    <mergeCell ref="G47:M47"/>
    <mergeCell ref="D49:E49"/>
    <mergeCell ref="G49:M49"/>
    <mergeCell ref="G45:M46"/>
    <mergeCell ref="W45:W46"/>
    <mergeCell ref="U45:V46"/>
    <mergeCell ref="B5:B7"/>
    <mergeCell ref="B10:B12"/>
    <mergeCell ref="B15:B18"/>
    <mergeCell ref="B45:B46"/>
    <mergeCell ref="B34:B35"/>
    <mergeCell ref="B21:B23"/>
    <mergeCell ref="B26:B31"/>
    <mergeCell ref="R2:R3"/>
    <mergeCell ref="U2:U3"/>
    <mergeCell ref="AB2:AB3"/>
    <mergeCell ref="AE2:AL2"/>
    <mergeCell ref="AQ2:AV2"/>
    <mergeCell ref="Y2:Y3"/>
    <mergeCell ref="W2:W3"/>
    <mergeCell ref="O2:O3"/>
    <mergeCell ref="Q2:Q3"/>
    <mergeCell ref="C3:D3"/>
    <mergeCell ref="J1:M1"/>
    <mergeCell ref="B2:E2"/>
    <mergeCell ref="G2:H2"/>
    <mergeCell ref="J2:M2"/>
  </mergeCells>
  <conditionalFormatting sqref="AE3:AL3 AM46:AN46 AE2">
    <cfRule type="cellIs" dxfId="24" priority="25" stopIfTrue="1" operator="equal">
      <formula>1</formula>
    </cfRule>
  </conditionalFormatting>
  <conditionalFormatting sqref="AQ3:AR3">
    <cfRule type="cellIs" dxfId="23" priority="24" stopIfTrue="1" operator="equal">
      <formula>1</formula>
    </cfRule>
  </conditionalFormatting>
  <conditionalFormatting sqref="AT3:AV3 AX3">
    <cfRule type="cellIs" dxfId="22" priority="23" stopIfTrue="1" operator="equal">
      <formula>1</formula>
    </cfRule>
  </conditionalFormatting>
  <conditionalFormatting sqref="W49:Y49">
    <cfRule type="cellIs" dxfId="21" priority="22" operator="lessThan">
      <formula>0</formula>
    </cfRule>
  </conditionalFormatting>
  <conditionalFormatting sqref="W5:W35">
    <cfRule type="cellIs" dxfId="20" priority="21" operator="lessThan">
      <formula>0</formula>
    </cfRule>
  </conditionalFormatting>
  <conditionalFormatting sqref="W45:W46">
    <cfRule type="cellIs" dxfId="19" priority="20" operator="lessThan">
      <formula>0</formula>
    </cfRule>
  </conditionalFormatting>
  <conditionalFormatting sqref="W5:W7">
    <cfRule type="cellIs" dxfId="18" priority="19" operator="greaterThan">
      <formula>0</formula>
    </cfRule>
  </conditionalFormatting>
  <conditionalFormatting sqref="W10">
    <cfRule type="cellIs" dxfId="17" priority="18" operator="greaterThan">
      <formula>0</formula>
    </cfRule>
  </conditionalFormatting>
  <conditionalFormatting sqref="W11">
    <cfRule type="cellIs" dxfId="16" priority="17" operator="greaterThan">
      <formula>0</formula>
    </cfRule>
  </conditionalFormatting>
  <conditionalFormatting sqref="W12">
    <cfRule type="cellIs" dxfId="15" priority="16" operator="greaterThan">
      <formula>0</formula>
    </cfRule>
  </conditionalFormatting>
  <conditionalFormatting sqref="W15">
    <cfRule type="cellIs" dxfId="14" priority="15" operator="greaterThan">
      <formula>0</formula>
    </cfRule>
  </conditionalFormatting>
  <conditionalFormatting sqref="W16">
    <cfRule type="cellIs" dxfId="13" priority="14" operator="greaterThan">
      <formula>0</formula>
    </cfRule>
  </conditionalFormatting>
  <conditionalFormatting sqref="W17">
    <cfRule type="cellIs" dxfId="12" priority="13" operator="greaterThan">
      <formula>0</formula>
    </cfRule>
  </conditionalFormatting>
  <conditionalFormatting sqref="W18">
    <cfRule type="cellIs" dxfId="11" priority="12" operator="greaterThan">
      <formula>0</formula>
    </cfRule>
  </conditionalFormatting>
  <conditionalFormatting sqref="W21">
    <cfRule type="cellIs" dxfId="10" priority="11" operator="greaterThan">
      <formula>0</formula>
    </cfRule>
  </conditionalFormatting>
  <conditionalFormatting sqref="W22">
    <cfRule type="cellIs" dxfId="9" priority="10" operator="greaterThan">
      <formula>0</formula>
    </cfRule>
  </conditionalFormatting>
  <conditionalFormatting sqref="W23">
    <cfRule type="cellIs" dxfId="8" priority="9" operator="greaterThan">
      <formula>0</formula>
    </cfRule>
  </conditionalFormatting>
  <conditionalFormatting sqref="W26">
    <cfRule type="cellIs" dxfId="7" priority="8" operator="greaterThan">
      <formula>0</formula>
    </cfRule>
  </conditionalFormatting>
  <conditionalFormatting sqref="W27">
    <cfRule type="cellIs" dxfId="6" priority="7" operator="greaterThan">
      <formula>0</formula>
    </cfRule>
  </conditionalFormatting>
  <conditionalFormatting sqref="W28">
    <cfRule type="cellIs" dxfId="5" priority="6" operator="greaterThan">
      <formula>0</formula>
    </cfRule>
  </conditionalFormatting>
  <conditionalFormatting sqref="W29">
    <cfRule type="cellIs" dxfId="4" priority="5" operator="greaterThan">
      <formula>0</formula>
    </cfRule>
  </conditionalFormatting>
  <conditionalFormatting sqref="W30">
    <cfRule type="cellIs" dxfId="3" priority="4" operator="greaterThan">
      <formula>0</formula>
    </cfRule>
  </conditionalFormatting>
  <conditionalFormatting sqref="W31">
    <cfRule type="cellIs" dxfId="2" priority="3" operator="greaterThan">
      <formula>0</formula>
    </cfRule>
  </conditionalFormatting>
  <conditionalFormatting sqref="W34">
    <cfRule type="cellIs" dxfId="1" priority="2" operator="greaterThan">
      <formula>0</formula>
    </cfRule>
  </conditionalFormatting>
  <conditionalFormatting sqref="W35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Identification</vt:lpstr>
      <vt:lpstr>ByStudent</vt:lpstr>
      <vt:lpstr>ByProf</vt:lpstr>
    </vt:vector>
  </TitlesOfParts>
  <Company>EICN-HES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Departement E</dc:creator>
  <cp:lastModifiedBy>cedric.bilat</cp:lastModifiedBy>
  <cp:lastPrinted>2002-07-10T14:35:10Z</cp:lastPrinted>
  <dcterms:created xsi:type="dcterms:W3CDTF">2001-11-30T08:19:39Z</dcterms:created>
  <dcterms:modified xsi:type="dcterms:W3CDTF">2016-02-04T11:06:17Z</dcterms:modified>
</cp:coreProperties>
</file>